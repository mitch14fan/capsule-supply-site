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7212" yWindow="1608" windowWidth="18012" windowHeight="16548" tabRatio="604"/>
  </bookViews>
  <sheets>
    <sheet name="Bulk Vending Refill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6" i="1" l="1"/>
  <c r="G117" i="1" l="1"/>
  <c r="G118" i="1" l="1"/>
  <c r="G119" i="1" l="1"/>
  <c r="G120" i="1"/>
  <c r="G121" i="1"/>
  <c r="G122" i="1"/>
  <c r="G123" i="1"/>
  <c r="G357" i="1" l="1"/>
  <c r="G355" i="1" l="1"/>
  <c r="G124" i="1"/>
  <c r="G125" i="1" l="1"/>
  <c r="G126" i="1"/>
  <c r="G344" i="1" l="1"/>
  <c r="G129" i="1" l="1"/>
  <c r="G130" i="1"/>
  <c r="G131" i="1"/>
  <c r="G394" i="1" l="1"/>
  <c r="G369" i="1"/>
  <c r="G370" i="1"/>
  <c r="G331" i="1"/>
  <c r="G132" i="1"/>
  <c r="G133" i="1"/>
  <c r="G134" i="1"/>
  <c r="G136" i="1"/>
  <c r="G137" i="1"/>
  <c r="G22" i="1"/>
  <c r="G106" i="1"/>
  <c r="G23" i="1"/>
  <c r="G24" i="1"/>
  <c r="G273" i="1"/>
  <c r="G234" i="1"/>
  <c r="G62" i="1" l="1"/>
  <c r="G63" i="1"/>
  <c r="G425" i="1"/>
  <c r="G138" i="1" l="1"/>
  <c r="G139" i="1"/>
  <c r="G140" i="1"/>
  <c r="G141" i="1"/>
  <c r="G142" i="1"/>
  <c r="G143" i="1"/>
  <c r="G396" i="1"/>
  <c r="G144" i="1" l="1"/>
  <c r="G230" i="1" l="1"/>
  <c r="G145" i="1" l="1"/>
  <c r="G146" i="1"/>
  <c r="G147" i="1"/>
  <c r="G148" i="1"/>
  <c r="G149" i="1"/>
  <c r="G150" i="1" l="1"/>
  <c r="G228" i="1" l="1"/>
  <c r="G267" i="1" l="1"/>
  <c r="G458" i="1" l="1"/>
  <c r="G205" i="1" l="1"/>
  <c r="G176" i="1"/>
  <c r="G151" i="1"/>
  <c r="G155" i="1"/>
  <c r="G156" i="1"/>
  <c r="G157" i="1"/>
  <c r="G158" i="1"/>
  <c r="G159" i="1"/>
  <c r="G160" i="1"/>
  <c r="G161" i="1"/>
  <c r="G162" i="1"/>
  <c r="G163" i="1"/>
  <c r="G166" i="1"/>
  <c r="G167" i="1"/>
  <c r="G168" i="1"/>
  <c r="G153" i="1"/>
  <c r="G152" i="1"/>
  <c r="G105" i="1"/>
  <c r="G154" i="1"/>
  <c r="G468" i="1" l="1"/>
  <c r="G469" i="1"/>
  <c r="G403" i="1"/>
  <c r="G352" i="1"/>
  <c r="G404" i="1" l="1"/>
  <c r="G186" i="1" l="1"/>
  <c r="G351" i="1"/>
  <c r="G402" i="1" l="1"/>
  <c r="G182" i="1" l="1"/>
  <c r="G183" i="1"/>
  <c r="G184" i="1"/>
  <c r="G185" i="1"/>
  <c r="G481" i="1" l="1"/>
  <c r="G467" i="1" l="1"/>
  <c r="G401" i="1"/>
  <c r="G180" i="1"/>
  <c r="G181" i="1"/>
  <c r="G177" i="1" l="1"/>
  <c r="G178" i="1"/>
  <c r="G179" i="1"/>
  <c r="G173" i="1" l="1"/>
  <c r="G174" i="1"/>
  <c r="G175" i="1"/>
  <c r="G172" i="1" l="1"/>
  <c r="G171" i="1" l="1"/>
  <c r="G170" i="1" l="1"/>
  <c r="G169" i="1" l="1"/>
  <c r="G199" i="1" l="1"/>
  <c r="G412" i="1" l="1"/>
  <c r="G411" i="1" l="1"/>
  <c r="G197" i="1"/>
  <c r="G198" i="1"/>
  <c r="G408" i="1" l="1"/>
  <c r="G195" i="1"/>
  <c r="G194" i="1" l="1"/>
  <c r="G407" i="1" l="1"/>
  <c r="G193" i="1" l="1"/>
  <c r="G348" i="1" l="1"/>
  <c r="G192" i="1" l="1"/>
  <c r="G398" i="1" l="1"/>
  <c r="G405" i="1"/>
  <c r="G406" i="1"/>
  <c r="G189" i="1"/>
  <c r="G190" i="1"/>
  <c r="G191" i="1"/>
  <c r="G420" i="1" l="1"/>
  <c r="G421" i="1"/>
  <c r="G216" i="1" l="1"/>
  <c r="G217" i="1"/>
  <c r="G214" i="1" l="1"/>
  <c r="G215" i="1"/>
  <c r="G218" i="1"/>
  <c r="G419" i="1" l="1"/>
  <c r="G209" i="1"/>
  <c r="G210" i="1"/>
  <c r="G211" i="1"/>
  <c r="G212" i="1"/>
  <c r="G213" i="1"/>
  <c r="G208" i="1" l="1"/>
  <c r="G207" i="1" l="1"/>
  <c r="G457" i="1" l="1"/>
  <c r="G456" i="1"/>
  <c r="G75" i="1" l="1"/>
  <c r="G25" i="1"/>
  <c r="G26" i="1"/>
  <c r="G27" i="1"/>
  <c r="G28" i="1"/>
  <c r="G29" i="1"/>
  <c r="G30" i="1"/>
  <c r="G76" i="1"/>
  <c r="G77" i="1"/>
  <c r="G31" i="1"/>
  <c r="G32" i="1"/>
  <c r="G33" i="1"/>
  <c r="G34" i="1"/>
  <c r="G78" i="1"/>
  <c r="G35" i="1"/>
  <c r="G36" i="1"/>
  <c r="G37" i="1"/>
  <c r="G38" i="1"/>
  <c r="G39" i="1"/>
  <c r="G7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4" i="1"/>
  <c r="G65" i="1"/>
  <c r="G66" i="1"/>
  <c r="G67" i="1"/>
  <c r="G74" i="1"/>
  <c r="G100" i="1"/>
  <c r="G101" i="1"/>
  <c r="G102" i="1"/>
  <c r="G103" i="1"/>
  <c r="G104" i="1"/>
  <c r="G107" i="1"/>
  <c r="G108" i="1"/>
  <c r="G109" i="1"/>
  <c r="G99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80" i="1"/>
  <c r="G382" i="1"/>
  <c r="G383" i="1"/>
  <c r="G384" i="1"/>
  <c r="G385" i="1"/>
  <c r="G386" i="1"/>
  <c r="G387" i="1"/>
  <c r="G372" i="1"/>
  <c r="G373" i="1"/>
  <c r="G374" i="1"/>
  <c r="G375" i="1"/>
  <c r="G376" i="1"/>
  <c r="G377" i="1"/>
  <c r="G378" i="1"/>
  <c r="G379" i="1"/>
  <c r="G380" i="1"/>
  <c r="G371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30" i="1"/>
  <c r="G332" i="1"/>
  <c r="G333" i="1"/>
  <c r="G334" i="1"/>
  <c r="G335" i="1"/>
  <c r="G336" i="1"/>
  <c r="G337" i="1"/>
  <c r="G338" i="1"/>
  <c r="G339" i="1"/>
  <c r="G340" i="1"/>
  <c r="G341" i="1"/>
  <c r="G343" i="1"/>
  <c r="G342" i="1"/>
  <c r="G345" i="1"/>
  <c r="G346" i="1"/>
  <c r="G347" i="1"/>
  <c r="G349" i="1"/>
  <c r="G350" i="1"/>
  <c r="G353" i="1"/>
  <c r="G354" i="1"/>
  <c r="G356" i="1"/>
  <c r="G358" i="1"/>
  <c r="G359" i="1"/>
  <c r="G360" i="1"/>
  <c r="G361" i="1"/>
  <c r="G362" i="1"/>
  <c r="G363" i="1"/>
  <c r="G364" i="1"/>
  <c r="G365" i="1"/>
  <c r="G366" i="1"/>
  <c r="G270" i="1"/>
  <c r="G271" i="1"/>
  <c r="G272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263" i="1"/>
  <c r="G264" i="1"/>
  <c r="G265" i="1"/>
  <c r="G266" i="1"/>
  <c r="G268" i="1"/>
  <c r="G262" i="1"/>
  <c r="G261" i="1"/>
  <c r="G257" i="1"/>
  <c r="G258" i="1"/>
  <c r="G259" i="1"/>
  <c r="G256" i="1"/>
  <c r="G248" i="1"/>
  <c r="G249" i="1"/>
  <c r="G250" i="1"/>
  <c r="G251" i="1"/>
  <c r="G252" i="1"/>
  <c r="G253" i="1"/>
  <c r="G254" i="1"/>
  <c r="G247" i="1"/>
  <c r="G241" i="1"/>
  <c r="G242" i="1"/>
  <c r="G243" i="1"/>
  <c r="G244" i="1"/>
  <c r="G245" i="1"/>
  <c r="G246" i="1"/>
  <c r="G240" i="1"/>
  <c r="G236" i="1"/>
  <c r="G237" i="1"/>
  <c r="G238" i="1"/>
  <c r="G233" i="1"/>
  <c r="G232" i="1"/>
  <c r="G201" i="1"/>
  <c r="G202" i="1"/>
  <c r="G203" i="1"/>
  <c r="G204" i="1"/>
  <c r="G219" i="1"/>
  <c r="G220" i="1"/>
  <c r="G221" i="1"/>
  <c r="G222" i="1"/>
  <c r="G223" i="1"/>
  <c r="G225" i="1"/>
  <c r="G226" i="1"/>
  <c r="G227" i="1"/>
  <c r="G229" i="1"/>
  <c r="G231" i="1"/>
  <c r="G200" i="1"/>
  <c r="G415" i="1" l="1"/>
  <c r="G416" i="1"/>
  <c r="G472" i="1" l="1"/>
  <c r="G474" i="1"/>
  <c r="G414" i="1" l="1"/>
  <c r="G424" i="1" l="1"/>
  <c r="G478" i="1" l="1"/>
  <c r="G479" i="1"/>
  <c r="G477" i="1"/>
  <c r="G476" i="1"/>
  <c r="G427" i="1"/>
  <c r="G426" i="1"/>
  <c r="G431" i="1" l="1"/>
  <c r="G429" i="1" l="1"/>
  <c r="G430" i="1"/>
  <c r="G428" i="1" l="1"/>
  <c r="G423" i="1" l="1"/>
  <c r="G435" i="1" l="1"/>
  <c r="G436" i="1"/>
  <c r="G434" i="1"/>
  <c r="G433" i="1"/>
  <c r="G432" i="1"/>
  <c r="G422" i="1" l="1"/>
  <c r="G483" i="1" l="1"/>
  <c r="G485" i="1" l="1"/>
  <c r="G487" i="1"/>
  <c r="G450" i="1" l="1"/>
  <c r="G451" i="1"/>
  <c r="G452" i="1"/>
  <c r="G449" i="1"/>
  <c r="G437" i="1"/>
  <c r="G438" i="1"/>
  <c r="G439" i="1"/>
  <c r="G440" i="1"/>
  <c r="G441" i="1"/>
  <c r="G442" i="1"/>
  <c r="G443" i="1"/>
  <c r="G444" i="1"/>
  <c r="G445" i="1"/>
  <c r="G447" i="1"/>
  <c r="G448" i="1"/>
</calcChain>
</file>

<file path=xl/comments1.xml><?xml version="1.0" encoding="utf-8"?>
<comments xmlns="http://schemas.openxmlformats.org/spreadsheetml/2006/main">
  <authors>
    <author>作者</author>
  </authors>
  <commentList>
    <comment ref="H198" authorId="0" shapeId="0">
      <text>
        <r>
          <rPr>
            <b/>
            <sz val="9"/>
            <color indexed="81"/>
            <rFont val="Cambria"/>
            <family val="1"/>
            <scheme val="major"/>
          </rPr>
          <t>100/bag, including:</t>
        </r>
        <r>
          <rPr>
            <sz val="9"/>
            <color indexed="81"/>
            <rFont val="Cambria"/>
            <family val="1"/>
            <scheme val="major"/>
          </rPr>
          <t xml:space="preserve">
Guns x 15
Cuffs x 15
Dogtag x 15
Bullet Keychains  x 15
Bullet Necklace x 10
Grenades x 30</t>
        </r>
      </text>
    </comment>
    <comment ref="H207" authorId="0" shapeId="0">
      <text>
        <r>
          <rPr>
            <b/>
            <sz val="10"/>
            <color indexed="81"/>
            <rFont val="Calibri"/>
            <family val="2"/>
            <scheme val="minor"/>
          </rPr>
          <t>Note:</t>
        </r>
        <r>
          <rPr>
            <sz val="10"/>
            <color indexed="81"/>
            <rFont val="Calibri"/>
            <family val="2"/>
            <scheme val="minor"/>
          </rPr>
          <t xml:space="preserve">
3000/color/model</t>
        </r>
      </text>
    </comment>
    <comment ref="H260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100/bag, 1500/box</t>
        </r>
        <r>
          <rPr>
            <sz val="9"/>
            <color indexed="81"/>
            <rFont val="宋体"/>
            <charset val="134"/>
          </rPr>
          <t xml:space="preserve">
</t>
        </r>
      </text>
    </comment>
    <comment ref="H269" authorId="0" shapeId="0">
      <text>
        <r>
          <rPr>
            <b/>
            <sz val="9"/>
            <color indexed="81"/>
            <rFont val="Cambria"/>
            <family val="1"/>
            <scheme val="major"/>
          </rPr>
          <t>Packing:</t>
        </r>
        <r>
          <rPr>
            <sz val="9"/>
            <color indexed="81"/>
            <rFont val="Cambria"/>
            <family val="1"/>
            <scheme val="major"/>
          </rPr>
          <t xml:space="preserve">
24/cdu, 480/box, 56*45*34.5cm</t>
        </r>
      </text>
    </comment>
    <comment ref="H357" authorId="0" shapeId="0">
      <text>
        <r>
          <rPr>
            <b/>
            <sz val="10"/>
            <color indexed="81"/>
            <rFont val="Cambria"/>
            <family val="1"/>
            <scheme val="major"/>
          </rPr>
          <t>Including:</t>
        </r>
        <r>
          <rPr>
            <sz val="10"/>
            <color indexed="81"/>
            <rFont val="Cambria"/>
            <family val="1"/>
            <scheme val="major"/>
          </rPr>
          <t xml:space="preserve">
Animals x 6000
Hands x 3000
Hammers x 3000
Webs x 3000
Crawlers x 5000</t>
        </r>
      </text>
    </comment>
    <comment ref="H367" authorId="0" shapeId="0">
      <text>
        <r>
          <rPr>
            <b/>
            <sz val="9"/>
            <color indexed="81"/>
            <rFont val="Arial"/>
            <family val="2"/>
          </rPr>
          <t>Packing:</t>
        </r>
        <r>
          <rPr>
            <sz val="9"/>
            <color indexed="81"/>
            <rFont val="Arial"/>
            <family val="2"/>
          </rPr>
          <t xml:space="preserve">
16 each gift box;
12 boxes per carton,
i.e. 192 per carton</t>
        </r>
      </text>
    </comment>
    <comment ref="H455" authorId="0" shapeId="0">
      <text>
        <r>
          <rPr>
            <b/>
            <sz val="9"/>
            <color indexed="81"/>
            <rFont val="Arial"/>
            <family val="2"/>
          </rPr>
          <t>Packing:</t>
        </r>
        <r>
          <rPr>
            <sz val="9"/>
            <color indexed="81"/>
            <rFont val="Arial"/>
            <family val="2"/>
          </rPr>
          <t xml:space="preserve">
12 each gift box;
12 boxes per carton,
i.e., 144 each carton</t>
        </r>
      </text>
    </comment>
    <comment ref="J573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15.55kg per box</t>
        </r>
      </text>
    </comment>
    <comment ref="J595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10.1 kg per box</t>
        </r>
      </text>
    </comment>
    <comment ref="J596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8.05kg per box</t>
        </r>
      </text>
    </comment>
    <comment ref="J599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Avg. 12.15kg per box</t>
        </r>
      </text>
    </comment>
    <comment ref="J600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Avg.11.3kg per box</t>
        </r>
      </text>
    </comment>
    <comment ref="J601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Avg. 9.3kg per box</t>
        </r>
      </text>
    </comment>
    <comment ref="J602" authorId="0" shapeId="0">
      <text>
        <r>
          <rPr>
            <b/>
            <sz val="9"/>
            <color indexed="81"/>
            <rFont val="Arial"/>
            <family val="2"/>
          </rPr>
          <t>Note:</t>
        </r>
        <r>
          <rPr>
            <sz val="9"/>
            <color indexed="81"/>
            <rFont val="Arial"/>
            <family val="2"/>
          </rPr>
          <t xml:space="preserve">
Avg. 9.4kg per box</t>
        </r>
      </text>
    </comment>
  </commentList>
</comments>
</file>

<file path=xl/sharedStrings.xml><?xml version="1.0" encoding="utf-8"?>
<sst xmlns="http://schemas.openxmlformats.org/spreadsheetml/2006/main" count="2415" uniqueCount="1308">
  <si>
    <t>Models</t>
    <phoneticPr fontId="1" type="noConversion"/>
  </si>
  <si>
    <t>Colors</t>
    <phoneticPr fontId="1" type="noConversion"/>
  </si>
  <si>
    <t>Pcs</t>
    <phoneticPr fontId="1" type="noConversion"/>
  </si>
  <si>
    <t>Item #</t>
    <phoneticPr fontId="1" type="noConversion"/>
  </si>
  <si>
    <t>Description</t>
    <phoneticPr fontId="1" type="noConversion"/>
  </si>
  <si>
    <t>Remarks</t>
    <phoneticPr fontId="1" type="noConversion"/>
  </si>
  <si>
    <t>M.O.Q</t>
    <phoneticPr fontId="1" type="noConversion"/>
  </si>
  <si>
    <t>Varieties</t>
    <phoneticPr fontId="1" type="noConversion"/>
  </si>
  <si>
    <t>Inner</t>
    <phoneticPr fontId="1" type="noConversion"/>
  </si>
  <si>
    <t>Outer</t>
    <phoneticPr fontId="1" type="noConversion"/>
  </si>
  <si>
    <t>Specs</t>
    <phoneticPr fontId="1" type="noConversion"/>
  </si>
  <si>
    <t>P4110</t>
  </si>
  <si>
    <t>P4111</t>
  </si>
  <si>
    <t>C2102</t>
  </si>
  <si>
    <t>C2103</t>
  </si>
  <si>
    <t>C2105</t>
  </si>
  <si>
    <t>C2106</t>
  </si>
  <si>
    <t>C2107</t>
  </si>
  <si>
    <t>C2108</t>
  </si>
  <si>
    <t>C2110</t>
  </si>
  <si>
    <t>C2112</t>
  </si>
  <si>
    <t>C2113</t>
  </si>
  <si>
    <t>C2115</t>
  </si>
  <si>
    <t>C2116</t>
  </si>
  <si>
    <t>C2132</t>
  </si>
  <si>
    <t>C2133</t>
  </si>
  <si>
    <t>various</t>
    <phoneticPr fontId="1" type="noConversion"/>
  </si>
  <si>
    <t>C2136</t>
  </si>
  <si>
    <t>C2137</t>
  </si>
  <si>
    <t>C2140</t>
  </si>
  <si>
    <t>C2141</t>
  </si>
  <si>
    <t>C2202</t>
  </si>
  <si>
    <t>C2204</t>
  </si>
  <si>
    <t>C2205</t>
  </si>
  <si>
    <t>C2206</t>
  </si>
  <si>
    <t>C2207</t>
  </si>
  <si>
    <t>C2201</t>
  </si>
  <si>
    <t>C2302</t>
  </si>
  <si>
    <t>C2304</t>
  </si>
  <si>
    <t>C2306</t>
  </si>
  <si>
    <t>C2309</t>
  </si>
  <si>
    <t>C2311</t>
  </si>
  <si>
    <t>C2322</t>
  </si>
  <si>
    <t>C2323</t>
  </si>
  <si>
    <t>C2325</t>
  </si>
  <si>
    <t>C1205</t>
    <phoneticPr fontId="1" type="noConversion"/>
  </si>
  <si>
    <t>C1206</t>
    <phoneticPr fontId="1" type="noConversion"/>
  </si>
  <si>
    <t>C1207</t>
    <phoneticPr fontId="1" type="noConversion"/>
  </si>
  <si>
    <t xml:space="preserve">C1210 </t>
    <phoneticPr fontId="1" type="noConversion"/>
  </si>
  <si>
    <t>C1211</t>
    <phoneticPr fontId="1" type="noConversion"/>
  </si>
  <si>
    <t xml:space="preserve">C1212 </t>
    <phoneticPr fontId="1" type="noConversion"/>
  </si>
  <si>
    <t>C1214</t>
    <phoneticPr fontId="1" type="noConversion"/>
  </si>
  <si>
    <t>gold</t>
    <phoneticPr fontId="1" type="noConversion"/>
  </si>
  <si>
    <t>silver grey</t>
    <phoneticPr fontId="1" type="noConversion"/>
  </si>
  <si>
    <t>C1232</t>
    <phoneticPr fontId="1" type="noConversion"/>
  </si>
  <si>
    <t>gold</t>
    <phoneticPr fontId="1" type="noConversion"/>
  </si>
  <si>
    <t>C1243</t>
    <phoneticPr fontId="1" type="noConversion"/>
  </si>
  <si>
    <t>C1244</t>
    <phoneticPr fontId="1" type="noConversion"/>
  </si>
  <si>
    <t xml:space="preserve">C1301 </t>
    <phoneticPr fontId="1" type="noConversion"/>
  </si>
  <si>
    <t>C1306</t>
    <phoneticPr fontId="1" type="noConversion"/>
  </si>
  <si>
    <t>27mm</t>
    <phoneticPr fontId="1" type="noConversion"/>
  </si>
  <si>
    <t>32mm</t>
    <phoneticPr fontId="1" type="noConversion"/>
  </si>
  <si>
    <t>45mm</t>
    <phoneticPr fontId="1" type="noConversion"/>
  </si>
  <si>
    <t>49mm</t>
    <phoneticPr fontId="1" type="noConversion"/>
  </si>
  <si>
    <t>BC02</t>
  </si>
  <si>
    <t>BC04</t>
  </si>
  <si>
    <t>BC06</t>
  </si>
  <si>
    <t>BC07</t>
  </si>
  <si>
    <t>BC08</t>
  </si>
  <si>
    <t>BC09</t>
  </si>
  <si>
    <t>BC10</t>
  </si>
  <si>
    <t>BC11</t>
  </si>
  <si>
    <t>BC01</t>
    <phoneticPr fontId="1" type="noConversion"/>
  </si>
  <si>
    <t>100Pcs/Bag</t>
  </si>
  <si>
    <t>50Pcs/Bag</t>
  </si>
  <si>
    <t>20Bags/Ctn</t>
  </si>
  <si>
    <t>10Bags/Ctn</t>
  </si>
  <si>
    <t>8Bags/Ctn</t>
  </si>
  <si>
    <t>6Bags/Ctn</t>
  </si>
  <si>
    <t>USD</t>
    <phoneticPr fontId="1" type="noConversion"/>
  </si>
  <si>
    <t>Unit Price</t>
    <phoneticPr fontId="8" type="noConversion"/>
  </si>
  <si>
    <t>Toys Only</t>
    <phoneticPr fontId="8" type="noConversion"/>
  </si>
  <si>
    <t>Toys Only</t>
    <phoneticPr fontId="8" type="noConversion"/>
  </si>
  <si>
    <t>-</t>
    <phoneticPr fontId="8" type="noConversion"/>
  </si>
  <si>
    <t>C1234</t>
  </si>
  <si>
    <t>1 band per capsule</t>
    <phoneticPr fontId="1" type="noConversion"/>
  </si>
  <si>
    <t xml:space="preserve">50 + </t>
    <phoneticPr fontId="1" type="noConversion"/>
  </si>
  <si>
    <t>Crazy Bandz (Silicone)</t>
    <phoneticPr fontId="1" type="noConversion"/>
  </si>
  <si>
    <t>C48</t>
    <phoneticPr fontId="1" type="noConversion"/>
  </si>
  <si>
    <t>C92</t>
    <phoneticPr fontId="1" type="noConversion"/>
  </si>
  <si>
    <t>C100</t>
    <phoneticPr fontId="1" type="noConversion"/>
  </si>
  <si>
    <t>C1148</t>
  </si>
  <si>
    <t>C1150</t>
  </si>
  <si>
    <t xml:space="preserve">C1103 </t>
  </si>
  <si>
    <t xml:space="preserve">C1109 </t>
  </si>
  <si>
    <t xml:space="preserve">C1110 </t>
  </si>
  <si>
    <t xml:space="preserve">C1111 </t>
  </si>
  <si>
    <t>Mustache</t>
  </si>
  <si>
    <t xml:space="preserve">C1112 </t>
  </si>
  <si>
    <t>C1115</t>
  </si>
  <si>
    <t xml:space="preserve">C1120 </t>
  </si>
  <si>
    <t xml:space="preserve">C1122 </t>
  </si>
  <si>
    <t>C1123</t>
  </si>
  <si>
    <t>C1125</t>
  </si>
  <si>
    <t>C1130</t>
  </si>
  <si>
    <t>C1133</t>
  </si>
  <si>
    <t>C1144</t>
  </si>
  <si>
    <t>various</t>
  </si>
  <si>
    <t>grow up in water</t>
  </si>
  <si>
    <t>C5104</t>
  </si>
  <si>
    <t>C5106</t>
  </si>
  <si>
    <t>C5107</t>
  </si>
  <si>
    <t>C5108</t>
  </si>
  <si>
    <t>C5110</t>
  </si>
  <si>
    <t>C5111</t>
  </si>
  <si>
    <t>C5113</t>
  </si>
  <si>
    <t>C5114</t>
  </si>
  <si>
    <t>C5115</t>
  </si>
  <si>
    <t>C5124</t>
  </si>
  <si>
    <t>C5125</t>
  </si>
  <si>
    <t>C5101</t>
  </si>
  <si>
    <t>C5102</t>
  </si>
  <si>
    <t>C5103</t>
  </si>
  <si>
    <t>Dinosaur Age</t>
  </si>
  <si>
    <t>Ninja-Fighters</t>
  </si>
  <si>
    <t>C5303</t>
  </si>
  <si>
    <t>C1152</t>
    <phoneticPr fontId="1" type="noConversion"/>
  </si>
  <si>
    <t>No Need Capsule</t>
  </si>
  <si>
    <t>Skull Rings</t>
    <phoneticPr fontId="9" type="noConversion"/>
  </si>
  <si>
    <t>Gold Bracelets</t>
    <phoneticPr fontId="9" type="noConversion"/>
  </si>
  <si>
    <t>C1249</t>
  </si>
  <si>
    <t>Black &amp; White Rings</t>
    <phoneticPr fontId="9" type="noConversion"/>
  </si>
  <si>
    <t>C1250</t>
  </si>
  <si>
    <t>C1254</t>
  </si>
  <si>
    <t>C1255</t>
  </si>
  <si>
    <t>C1256</t>
  </si>
  <si>
    <t>C1258</t>
  </si>
  <si>
    <t>Rose Rings</t>
    <phoneticPr fontId="9" type="noConversion"/>
  </si>
  <si>
    <t>C5121</t>
    <phoneticPr fontId="9" type="noConversion"/>
  </si>
  <si>
    <t>Roll The Dice</t>
    <phoneticPr fontId="9" type="noConversion"/>
  </si>
  <si>
    <t>C5126</t>
    <phoneticPr fontId="9" type="noConversion"/>
  </si>
  <si>
    <t>No Need Capsule</t>
    <phoneticPr fontId="9" type="noConversion"/>
  </si>
  <si>
    <t>various</t>
    <phoneticPr fontId="9" type="noConversion"/>
  </si>
  <si>
    <t>C2118</t>
    <phoneticPr fontId="9" type="noConversion"/>
  </si>
  <si>
    <t>C2131</t>
    <phoneticPr fontId="9" type="noConversion"/>
  </si>
  <si>
    <t>Bling Teeth</t>
    <phoneticPr fontId="9" type="noConversion"/>
  </si>
  <si>
    <t>C2139</t>
    <phoneticPr fontId="9" type="noConversion"/>
  </si>
  <si>
    <t>diameter 26mm</t>
    <phoneticPr fontId="9" type="noConversion"/>
  </si>
  <si>
    <t>C2160</t>
  </si>
  <si>
    <t>Freaky Teeth</t>
  </si>
  <si>
    <t>C2161</t>
    <phoneticPr fontId="9" type="noConversion"/>
  </si>
  <si>
    <t>C2163</t>
    <phoneticPr fontId="9" type="noConversion"/>
  </si>
  <si>
    <t>C2167</t>
    <phoneticPr fontId="9" type="noConversion"/>
  </si>
  <si>
    <t>grow up in water</t>
    <phoneticPr fontId="9" type="noConversion"/>
  </si>
  <si>
    <t>C2173</t>
  </si>
  <si>
    <t>C2174</t>
    <phoneticPr fontId="9" type="noConversion"/>
  </si>
  <si>
    <t>C2503</t>
  </si>
  <si>
    <t>C2504</t>
  </si>
  <si>
    <t>C2604</t>
  </si>
  <si>
    <t>Winter Collection Danglers</t>
    <phoneticPr fontId="9" type="noConversion"/>
  </si>
  <si>
    <t>C2608</t>
  </si>
  <si>
    <t>C2609</t>
  </si>
  <si>
    <t>Wristlets</t>
    <phoneticPr fontId="9" type="noConversion"/>
  </si>
  <si>
    <t>Silicone Wrist Bands</t>
    <phoneticPr fontId="9" type="noConversion"/>
  </si>
  <si>
    <t>C2220</t>
  </si>
  <si>
    <t>C2221</t>
  </si>
  <si>
    <t>C2301</t>
    <phoneticPr fontId="9" type="noConversion"/>
  </si>
  <si>
    <t>Mega Sticky Mix</t>
    <phoneticPr fontId="9" type="noConversion"/>
  </si>
  <si>
    <t>C2321</t>
    <phoneticPr fontId="9" type="noConversion"/>
  </si>
  <si>
    <t>C2329</t>
  </si>
  <si>
    <t>Transformer Dino Eggs</t>
    <phoneticPr fontId="9" type="noConversion"/>
  </si>
  <si>
    <t>C3105</t>
    <phoneticPr fontId="1" type="noConversion"/>
  </si>
  <si>
    <t>C3108</t>
    <phoneticPr fontId="1" type="noConversion"/>
  </si>
  <si>
    <t>C3125</t>
  </si>
  <si>
    <t>C3201</t>
    <phoneticPr fontId="1" type="noConversion"/>
  </si>
  <si>
    <t>C3202</t>
    <phoneticPr fontId="1" type="noConversion"/>
  </si>
  <si>
    <t>C3203</t>
    <phoneticPr fontId="1" type="noConversion"/>
  </si>
  <si>
    <t>C3206</t>
  </si>
  <si>
    <t>C3207</t>
  </si>
  <si>
    <t>C3208</t>
  </si>
  <si>
    <t>No Need Capsule</t>
    <phoneticPr fontId="1" type="noConversion"/>
  </si>
  <si>
    <t>C4107</t>
    <phoneticPr fontId="1" type="noConversion"/>
  </si>
  <si>
    <t>C4121</t>
    <phoneticPr fontId="1" type="noConversion"/>
  </si>
  <si>
    <t>C4124</t>
    <phoneticPr fontId="1" type="noConversion"/>
  </si>
  <si>
    <t>C2330</t>
    <phoneticPr fontId="7" type="noConversion"/>
  </si>
  <si>
    <t>C4134</t>
  </si>
  <si>
    <t>C4106</t>
    <phoneticPr fontId="11" type="noConversion"/>
  </si>
  <si>
    <t>C1154</t>
  </si>
  <si>
    <t>C5117</t>
  </si>
  <si>
    <t>C2175</t>
  </si>
  <si>
    <t>C3136</t>
  </si>
  <si>
    <t>C3101</t>
  </si>
  <si>
    <t>C3103</t>
  </si>
  <si>
    <t>C3104</t>
  </si>
  <si>
    <t>C2178</t>
  </si>
  <si>
    <t>C2236</t>
  </si>
  <si>
    <t>C2238</t>
  </si>
  <si>
    <t>Fashion Purses</t>
  </si>
  <si>
    <t>Toys Only</t>
  </si>
  <si>
    <t>Mini Claw, Medium Claw</t>
  </si>
  <si>
    <t>Item #</t>
  </si>
  <si>
    <t>Description</t>
  </si>
  <si>
    <t>Remarks</t>
  </si>
  <si>
    <t>Unit Price</t>
  </si>
  <si>
    <t>M.O.Q</t>
  </si>
  <si>
    <t>Varieties</t>
  </si>
  <si>
    <t>Pcs</t>
  </si>
  <si>
    <t>Models</t>
  </si>
  <si>
    <t>Colors</t>
  </si>
  <si>
    <t>Packing</t>
  </si>
  <si>
    <t>Weight / Ctn</t>
  </si>
  <si>
    <t>USD</t>
  </si>
  <si>
    <t>Quantity/Ctn</t>
  </si>
  <si>
    <t>Ctn Size (cm)</t>
  </si>
  <si>
    <t>Diameter</t>
  </si>
  <si>
    <t>Descriptions</t>
  </si>
  <si>
    <t>Carton Size &amp; Weight</t>
  </si>
  <si>
    <t>C35</t>
  </si>
  <si>
    <t>C28</t>
  </si>
  <si>
    <t>C2240</t>
  </si>
  <si>
    <t>Hair Extensions</t>
  </si>
  <si>
    <t>C2189</t>
  </si>
  <si>
    <t>C2190</t>
  </si>
  <si>
    <t>Plush Finger Puppets</t>
  </si>
  <si>
    <t>C4113</t>
  </si>
  <si>
    <t>60mm</t>
  </si>
  <si>
    <t>20Pcs/Bag</t>
  </si>
  <si>
    <t>C2332</t>
  </si>
  <si>
    <t>C3204</t>
  </si>
  <si>
    <t>Self Vending 30MM</t>
  </si>
  <si>
    <t>Self Vending 32MM</t>
  </si>
  <si>
    <t>Self Vending 35MM</t>
  </si>
  <si>
    <t>collect all</t>
  </si>
  <si>
    <t>Skeleton Keychains</t>
  </si>
  <si>
    <t>Puppies</t>
  </si>
  <si>
    <t>Magic Cubes</t>
  </si>
  <si>
    <t>Small Assorted Balls</t>
  </si>
  <si>
    <t>Big Assorted Balls</t>
  </si>
  <si>
    <t>Bubble Balls</t>
  </si>
  <si>
    <t>Star Balls</t>
  </si>
  <si>
    <t>Special Effect Balls</t>
  </si>
  <si>
    <t>3D Balls</t>
  </si>
  <si>
    <t>Sports Balls</t>
  </si>
  <si>
    <t>Fancy Faces Balls</t>
  </si>
  <si>
    <t>Large Grow Animals</t>
  </si>
  <si>
    <t>Cameras</t>
  </si>
  <si>
    <t>Evil Eyeballs</t>
  </si>
  <si>
    <t>Skull Necklaces</t>
  </si>
  <si>
    <t>C2222</t>
  </si>
  <si>
    <t>Flashing Puffer Rings</t>
  </si>
  <si>
    <t>glow in the dark</t>
  </si>
  <si>
    <t>C1215</t>
  </si>
  <si>
    <t>Silicone Finger Bands</t>
  </si>
  <si>
    <t>Leopard Print Danglers</t>
  </si>
  <si>
    <t>IMPORTANT NOTES:</t>
  </si>
  <si>
    <r>
      <t xml:space="preserve">1. All prices are based on </t>
    </r>
    <r>
      <rPr>
        <b/>
        <sz val="8"/>
        <color indexed="10"/>
        <rFont val="Verdana"/>
        <family val="2"/>
      </rPr>
      <t>EX-WORKS</t>
    </r>
    <r>
      <rPr>
        <b/>
        <sz val="8"/>
        <color indexed="12"/>
        <rFont val="Verdana"/>
        <family val="2"/>
      </rPr>
      <t xml:space="preserve">, excluding any transport costs. </t>
    </r>
  </si>
  <si>
    <r>
      <t xml:space="preserve">2. The </t>
    </r>
    <r>
      <rPr>
        <b/>
        <sz val="8"/>
        <color indexed="10"/>
        <rFont val="Verdana"/>
        <family val="2"/>
      </rPr>
      <t>M.O.Q</t>
    </r>
    <r>
      <rPr>
        <b/>
        <sz val="8"/>
        <color indexed="12"/>
        <rFont val="Verdana"/>
        <family val="2"/>
      </rPr>
      <t xml:space="preserve"> (Minimum Order Quantity) of each items must be met or exceeded.</t>
    </r>
  </si>
  <si>
    <t>Moody Faces</t>
  </si>
  <si>
    <t>C1101</t>
    <phoneticPr fontId="1" type="noConversion"/>
  </si>
  <si>
    <t>sticky &amp; flies up 30 feet</t>
  </si>
  <si>
    <t>C5119</t>
  </si>
  <si>
    <t>C5120</t>
  </si>
  <si>
    <t>C2170</t>
  </si>
  <si>
    <t>C2171</t>
  </si>
  <si>
    <t>Little Bear Necklaces</t>
  </si>
  <si>
    <t>mix</t>
  </si>
  <si>
    <t>C1262</t>
  </si>
  <si>
    <t>C1263</t>
  </si>
  <si>
    <t>20 +</t>
  </si>
  <si>
    <t>C2194</t>
  </si>
  <si>
    <t>Wooden Bracelets</t>
  </si>
  <si>
    <t>C2226</t>
  </si>
  <si>
    <t>ASTM, EN71</t>
  </si>
  <si>
    <t>talcum powder inside</t>
  </si>
  <si>
    <t>talcum powder inside, 40grams</t>
  </si>
  <si>
    <t>Self Vending 65MM</t>
  </si>
  <si>
    <t>Glow Rings</t>
  </si>
  <si>
    <t>Fridge Magnets</t>
  </si>
  <si>
    <t>Marine Animals</t>
  </si>
  <si>
    <t>Rainbow Springs</t>
  </si>
  <si>
    <t>C2195</t>
  </si>
  <si>
    <t>C2196</t>
  </si>
  <si>
    <t>C2197</t>
  </si>
  <si>
    <t>Lizards</t>
  </si>
  <si>
    <t>Zipper Bracelets</t>
  </si>
  <si>
    <t>Sticky Animals</t>
  </si>
  <si>
    <t>Self Vending 50MM</t>
  </si>
  <si>
    <t>C2147</t>
  </si>
  <si>
    <t>C5130</t>
  </si>
  <si>
    <t>Gold &amp; Silver Bracelets</t>
  </si>
  <si>
    <t>Gold/Silver</t>
  </si>
  <si>
    <t>C2128</t>
  </si>
  <si>
    <t>60cm Ball-Chain</t>
  </si>
  <si>
    <r>
      <t>92mm Round Capsule (</t>
    </r>
    <r>
      <rPr>
        <sz val="8"/>
        <color indexed="1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</si>
  <si>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C2138</t>
  </si>
  <si>
    <t>size: approx 45mm</t>
  </si>
  <si>
    <t>C2242</t>
  </si>
  <si>
    <t>Zinc-Alloy Made</t>
  </si>
  <si>
    <t>Erasers Mix</t>
  </si>
  <si>
    <t>C1155</t>
  </si>
  <si>
    <t>C1156</t>
  </si>
  <si>
    <t>EN71</t>
  </si>
  <si>
    <t>Certificate</t>
  </si>
  <si>
    <t>BC03</t>
  </si>
  <si>
    <t>BC05</t>
  </si>
  <si>
    <t>Multi-Color Balls</t>
  </si>
  <si>
    <t>C2334</t>
  </si>
  <si>
    <t>with Keychains</t>
  </si>
  <si>
    <t>Diameter 45MM</t>
  </si>
  <si>
    <t>C2335</t>
  </si>
  <si>
    <t>Emoji Finger Balls</t>
  </si>
  <si>
    <r>
      <rPr>
        <sz val="9"/>
        <color indexed="10"/>
        <rFont val="Arial"/>
        <family val="2"/>
      </rPr>
      <t>Flashing</t>
    </r>
    <r>
      <rPr>
        <sz val="9"/>
        <color indexed="8"/>
        <rFont val="Arial"/>
        <family val="2"/>
      </rPr>
      <t xml:space="preserve"> Emoji Finger Balls</t>
    </r>
  </si>
  <si>
    <t>C3214</t>
  </si>
  <si>
    <t>C5133</t>
  </si>
  <si>
    <t>Winter Doll Danglers</t>
  </si>
  <si>
    <r>
      <t xml:space="preserve">4. The order contains more than 30 items will </t>
    </r>
    <r>
      <rPr>
        <b/>
        <sz val="8"/>
        <color indexed="10"/>
        <rFont val="Verdana"/>
        <family val="2"/>
      </rPr>
      <t xml:space="preserve">NOT be accepted </t>
    </r>
    <r>
      <rPr>
        <b/>
        <sz val="8"/>
        <color indexed="12"/>
        <rFont val="Verdana"/>
        <family val="2"/>
      </rPr>
      <t>if the total quantity is no more than a 20ft container load.</t>
    </r>
  </si>
  <si>
    <t>C2510</t>
  </si>
  <si>
    <t>Length 35cm</t>
  </si>
  <si>
    <t>Monster Finger-Puppets</t>
  </si>
  <si>
    <t>C2336</t>
  </si>
  <si>
    <t>C2337</t>
  </si>
  <si>
    <r>
      <rPr>
        <sz val="9"/>
        <color indexed="10"/>
        <rFont val="Arial"/>
        <family val="2"/>
      </rPr>
      <t>Flashing</t>
    </r>
    <r>
      <rPr>
        <sz val="9"/>
        <color indexed="8"/>
        <rFont val="Arial"/>
        <family val="2"/>
      </rPr>
      <t xml:space="preserve"> Owl Yo-Yos</t>
    </r>
  </si>
  <si>
    <r>
      <rPr>
        <sz val="9"/>
        <color indexed="10"/>
        <rFont val="Arial"/>
        <family val="2"/>
      </rPr>
      <t>Flashing</t>
    </r>
    <r>
      <rPr>
        <sz val="9"/>
        <color indexed="8"/>
        <rFont val="Arial"/>
        <family val="2"/>
      </rPr>
      <t xml:space="preserve"> Pop-eyed Yo-Yos</t>
    </r>
  </si>
  <si>
    <t>Owl Stretch Yo-Yos</t>
  </si>
  <si>
    <t>Pop-eyed Stretch Yo-Yos</t>
  </si>
  <si>
    <t>Zinc-Alloy Made</t>
    <phoneticPr fontId="1" type="noConversion"/>
  </si>
  <si>
    <t xml:space="preserve">    cm    |    kg</t>
  </si>
  <si>
    <r>
      <t>Empty Capsules</t>
    </r>
    <r>
      <rPr>
        <sz val="9"/>
        <color indexed="12"/>
        <rFont val="Arial"/>
        <family val="2"/>
      </rPr>
      <t/>
    </r>
    <phoneticPr fontId="1" type="noConversion"/>
  </si>
  <si>
    <r>
      <t>Bouncy Balls (</t>
    </r>
    <r>
      <rPr>
        <sz val="10"/>
        <color indexed="12"/>
        <rFont val="Arial"/>
        <family val="2"/>
      </rPr>
      <t>EN71 approved</t>
    </r>
    <r>
      <rPr>
        <b/>
        <sz val="10"/>
        <color indexed="10"/>
        <rFont val="Arial"/>
        <family val="2"/>
      </rPr>
      <t>)</t>
    </r>
  </si>
  <si>
    <t>Suitable Capsules</t>
  </si>
  <si>
    <t>Applicable Claws</t>
  </si>
  <si>
    <t>C2338</t>
  </si>
  <si>
    <t>Boxed in Compete Sets</t>
  </si>
  <si>
    <t>12.6 Kg</t>
  </si>
  <si>
    <t>C5134</t>
  </si>
  <si>
    <t>C5135</t>
  </si>
  <si>
    <t>Rocket Balloons</t>
  </si>
  <si>
    <t>N/A</t>
  </si>
  <si>
    <t>Pre-Capsuled, 50MM</t>
  </si>
  <si>
    <t>C4207</t>
  </si>
  <si>
    <r>
      <t>Plush Toys Collection</t>
    </r>
    <r>
      <rPr>
        <b/>
        <sz val="10"/>
        <color indexed="12"/>
        <rFont val="Arial"/>
        <family val="2"/>
      </rPr>
      <t/>
    </r>
  </si>
  <si>
    <t>Medium / Large Claw</t>
  </si>
  <si>
    <t>C2340</t>
  </si>
  <si>
    <t>Sports Ball Keychains</t>
  </si>
  <si>
    <t>Length: 22cm</t>
  </si>
  <si>
    <t>C2341</t>
  </si>
  <si>
    <t>Diameter: 45MM</t>
  </si>
  <si>
    <t>Large Stretch Men</t>
  </si>
  <si>
    <t>Large Stretch Cords</t>
  </si>
  <si>
    <t>Infinite Cubes</t>
  </si>
  <si>
    <t>C2342</t>
  </si>
  <si>
    <t>C2343</t>
  </si>
  <si>
    <t>C2344</t>
  </si>
  <si>
    <t>20+</t>
  </si>
  <si>
    <t>No Water Inside</t>
  </si>
  <si>
    <t>C5136</t>
  </si>
  <si>
    <t>C5137</t>
  </si>
  <si>
    <t>Random 6</t>
  </si>
  <si>
    <t>Soccer Spinners</t>
  </si>
  <si>
    <t>Capsuled &amp; Sealed</t>
  </si>
  <si>
    <t>C2198</t>
  </si>
  <si>
    <t>Capsuled</t>
  </si>
  <si>
    <t>Marble Pool Ball Keychains</t>
  </si>
  <si>
    <t>Transformable Dinosaurs</t>
  </si>
  <si>
    <t>Water Pistols</t>
  </si>
  <si>
    <t>Squeaky Vinyl Puppies</t>
  </si>
  <si>
    <t>Maze Cubes</t>
  </si>
  <si>
    <t>Yo-Yo Sports Balls</t>
  </si>
  <si>
    <t>PANDA VENDING LIMITED. 704A/1, NO. 1029 KONGJIANG ROAD, YANGPU DISTRICT, SHANGHAI 200093, P.R.CHINA.</t>
  </si>
  <si>
    <t>side length: 40mm</t>
  </si>
  <si>
    <t>Inertia Wheel Spinners</t>
  </si>
  <si>
    <t>Pull Back Racing Cars</t>
  </si>
  <si>
    <t>Pull Back Engineering Trucks</t>
  </si>
  <si>
    <t>Hatch/Grow in Water</t>
  </si>
  <si>
    <t>C35 Only</t>
  </si>
  <si>
    <t>Capsule Applied</t>
  </si>
  <si>
    <t>C92 + Shrink Wrap</t>
  </si>
  <si>
    <t>Animal Link-Ups</t>
  </si>
  <si>
    <t>Easter Mix</t>
  </si>
  <si>
    <t>Squishy Puppies</t>
  </si>
  <si>
    <t>Pull-Back Engineering Trucks</t>
  </si>
  <si>
    <t>48*50mm Bicolor Capsule</t>
  </si>
  <si>
    <r>
      <t>30*35mm Hinged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</si>
  <si>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C70</t>
  </si>
  <si>
    <r>
      <t>70mm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</si>
  <si>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Micro Building Blocks</t>
  </si>
  <si>
    <t>Mini Lottery Game</t>
  </si>
  <si>
    <t>C2199</t>
  </si>
  <si>
    <t>Alligators &amp; Crocodiles</t>
  </si>
  <si>
    <t>C2345</t>
  </si>
  <si>
    <t>Animal Micro Blocks</t>
  </si>
  <si>
    <t>Marine Animal Micro Blocks</t>
  </si>
  <si>
    <t>Self Vending 40x50MM</t>
  </si>
  <si>
    <t>Bunny Pencil Toppers</t>
  </si>
  <si>
    <t>C5314</t>
  </si>
  <si>
    <t>Gold Jewelry Mix</t>
  </si>
  <si>
    <t>gold</t>
  </si>
  <si>
    <t>Whoopee Cushions</t>
  </si>
  <si>
    <t>32CM x 6MM</t>
  </si>
  <si>
    <t>Egg Size: 40x55MM</t>
  </si>
  <si>
    <t>Self Vending 45x58MM</t>
  </si>
  <si>
    <t>Rubber Dome Poppers</t>
  </si>
  <si>
    <t>Squishy Fruit Balls</t>
  </si>
  <si>
    <t>Color Beads inside</t>
  </si>
  <si>
    <t>C2346</t>
  </si>
  <si>
    <t>Squishy Dinosaurs</t>
  </si>
  <si>
    <t>Size: 40MM</t>
  </si>
  <si>
    <t>Mini Jumpers</t>
  </si>
  <si>
    <t xml:space="preserve">C1106 </t>
  </si>
  <si>
    <t>Emoji Stretch Men</t>
  </si>
  <si>
    <t>10+</t>
  </si>
  <si>
    <t>C2326</t>
  </si>
  <si>
    <t>Round Pull Back Cars</t>
  </si>
  <si>
    <t>Face-Changing Bears</t>
  </si>
  <si>
    <t>P9301</t>
  </si>
  <si>
    <t>P9302</t>
  </si>
  <si>
    <t>P9303</t>
  </si>
  <si>
    <t>P9304</t>
  </si>
  <si>
    <t>P9305</t>
  </si>
  <si>
    <t>P9306</t>
  </si>
  <si>
    <t>P9307</t>
  </si>
  <si>
    <t>P9308</t>
  </si>
  <si>
    <t>P9309</t>
  </si>
  <si>
    <t>Premium Penguin</t>
  </si>
  <si>
    <t>Premium Duck</t>
  </si>
  <si>
    <t>Premium Bird</t>
  </si>
  <si>
    <t>Premium Sitting Bear</t>
  </si>
  <si>
    <t>Premium Standing Bear</t>
  </si>
  <si>
    <t>Premium Elephant</t>
  </si>
  <si>
    <t>Premium Alpaca</t>
  </si>
  <si>
    <t>Premium Teddy Dog</t>
  </si>
  <si>
    <t>Premium Mice</t>
  </si>
  <si>
    <t>Flashing Tops</t>
  </si>
  <si>
    <t>Pull-Back Mice</t>
  </si>
  <si>
    <t>12+6</t>
  </si>
  <si>
    <t>C5315</t>
  </si>
  <si>
    <t>Fashion Emoji Rings</t>
  </si>
  <si>
    <t>29+</t>
  </si>
  <si>
    <t>Cute Pull-Back Animals</t>
  </si>
  <si>
    <t>C2203</t>
  </si>
  <si>
    <t>C2610</t>
  </si>
  <si>
    <t>Plush Dice</t>
  </si>
  <si>
    <t>Engineering Truck Builds</t>
  </si>
  <si>
    <t>C2331</t>
  </si>
  <si>
    <t>Animal Roly-Poly Tumblers</t>
  </si>
  <si>
    <t>Knitted Doll Danglers</t>
  </si>
  <si>
    <t>Squishy Body Parts</t>
  </si>
  <si>
    <t>Flashing Crystal Fruit Rings</t>
  </si>
  <si>
    <t>C2233</t>
  </si>
  <si>
    <t>Rubber Bands</t>
  </si>
  <si>
    <t>6 different pcs per bag</t>
  </si>
  <si>
    <t>C2328</t>
  </si>
  <si>
    <t>Self Vending 55MM</t>
  </si>
  <si>
    <t>C2161P</t>
  </si>
  <si>
    <t>Finger Lights &amp; Projectors</t>
  </si>
  <si>
    <r>
      <t xml:space="preserve">3. The order with total value under $5000 will </t>
    </r>
    <r>
      <rPr>
        <b/>
        <sz val="8"/>
        <color indexed="10"/>
        <rFont val="Verdana"/>
        <family val="2"/>
      </rPr>
      <t>NOT be accepted</t>
    </r>
    <r>
      <rPr>
        <b/>
        <sz val="8"/>
        <color indexed="12"/>
        <rFont val="Verdana"/>
        <family val="2"/>
      </rPr>
      <t>.</t>
    </r>
  </si>
  <si>
    <t>Pull-Back Animal Chompers</t>
  </si>
  <si>
    <t>Large Pull-Back Animals</t>
  </si>
  <si>
    <t>Pull Back Planes</t>
  </si>
  <si>
    <t>966 Pcs</t>
  </si>
  <si>
    <t>57*45*47</t>
  </si>
  <si>
    <t>16.5 Kg</t>
  </si>
  <si>
    <t>1540 Pcs</t>
  </si>
  <si>
    <t>13.1 Kg</t>
  </si>
  <si>
    <r>
      <t>28mm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</si>
  <si>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r>
      <rPr>
        <sz val="9"/>
        <color rgb="FFFF0000"/>
        <rFont val="Arial"/>
        <family val="2"/>
      </rPr>
      <t>Flashing</t>
    </r>
    <r>
      <rPr>
        <sz val="9"/>
        <rFont val="Arial"/>
        <family val="2"/>
      </rPr>
      <t xml:space="preserve"> Water Balls</t>
    </r>
  </si>
  <si>
    <r>
      <rPr>
        <sz val="9"/>
        <color rgb="FFFF0000"/>
        <rFont val="Arial"/>
        <family val="2"/>
      </rPr>
      <t>Flashing</t>
    </r>
    <r>
      <rPr>
        <sz val="9"/>
        <color theme="1"/>
        <rFont val="Arial"/>
        <family val="2"/>
      </rPr>
      <t xml:space="preserve"> Puffer Balls</t>
    </r>
  </si>
  <si>
    <t>Squeeze-a-Bean</t>
  </si>
  <si>
    <t>Neon Pop-its</t>
  </si>
  <si>
    <t>Water Games</t>
  </si>
  <si>
    <t>Buildable Dinosaurs</t>
  </si>
  <si>
    <t>H55xL50 mm</t>
  </si>
  <si>
    <t>6cm Emoji Jumpers</t>
  </si>
  <si>
    <t>9cm Emoji Jumpers</t>
  </si>
  <si>
    <t>Large Squishy Animals</t>
  </si>
  <si>
    <t>15-20</t>
  </si>
  <si>
    <t>Size: 8cm</t>
  </si>
  <si>
    <t>C3216</t>
  </si>
  <si>
    <t>Pop-it Bands</t>
  </si>
  <si>
    <t>Large Fidget Snappers</t>
  </si>
  <si>
    <t>3D Puzzle Balls</t>
  </si>
  <si>
    <t>with sucking disc</t>
  </si>
  <si>
    <t>Fidget Mesh Marbles</t>
  </si>
  <si>
    <t>Fidget Wacky Tracks</t>
  </si>
  <si>
    <t>Size: 28cm*1cm</t>
  </si>
  <si>
    <t>360 Pcs</t>
  </si>
  <si>
    <t>Magic Spinners</t>
  </si>
  <si>
    <t>Transformable Vehicles</t>
  </si>
  <si>
    <t>4~8</t>
  </si>
  <si>
    <t>C63</t>
  </si>
  <si>
    <r>
      <t>63*70mm Hinged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</si>
  <si>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11.5 Kg</t>
  </si>
  <si>
    <t>768 Pcs</t>
  </si>
  <si>
    <t>60*40*60</t>
  </si>
  <si>
    <t>18.5 Kg</t>
  </si>
  <si>
    <t>P4M1</t>
  </si>
  <si>
    <t>P7M2</t>
  </si>
  <si>
    <t>10cm-15cm, 12 Random Varieties</t>
  </si>
  <si>
    <t>Mini / Medium Claw</t>
  </si>
  <si>
    <t>10~15</t>
  </si>
  <si>
    <t>6~12</t>
  </si>
  <si>
    <t>C63/C65</t>
  </si>
  <si>
    <t>C65H/C68/C70</t>
  </si>
  <si>
    <t>Mini Shooting Hoops</t>
  </si>
  <si>
    <t>20cm, 15g</t>
  </si>
  <si>
    <t>Large Stretch Worms</t>
  </si>
  <si>
    <t>25cm, 27g</t>
  </si>
  <si>
    <t>4cm, 27g</t>
  </si>
  <si>
    <t>Squishy Fruits</t>
  </si>
  <si>
    <t>Dinosaur Slingshots</t>
  </si>
  <si>
    <t>Cartoon Slipper Keychains</t>
  </si>
  <si>
    <t>Mini Hand Clappers (7cm)</t>
  </si>
  <si>
    <t>8-in-1 Frigate Builds</t>
  </si>
  <si>
    <t>8-in-1 Apache Builds</t>
  </si>
  <si>
    <t>C32R</t>
  </si>
  <si>
    <t>19.13 Kg</t>
  </si>
  <si>
    <t>6000 Pcs</t>
  </si>
  <si>
    <t>4000 Pcs</t>
  </si>
  <si>
    <t>C56H</t>
  </si>
  <si>
    <r>
      <t>47*56mm Hinged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</si>
  <si>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C50</t>
  </si>
  <si>
    <r>
      <t>50*54mm Hinged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</si>
  <si>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10000 Pcs</t>
  </si>
  <si>
    <t>1680 Pcs</t>
  </si>
  <si>
    <t>1482 Pcs</t>
  </si>
  <si>
    <t>12.84 Kg</t>
  </si>
  <si>
    <t>12.1 Kg</t>
  </si>
  <si>
    <r>
      <t>100mm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</si>
  <si>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57*45*47cm</t>
  </si>
  <si>
    <t>C28/C32R/C35</t>
  </si>
  <si>
    <t>C32R/C35</t>
  </si>
  <si>
    <t>C2239</t>
  </si>
  <si>
    <t>Flower/Butterfly Tattoos</t>
  </si>
  <si>
    <t>Size: 48x69mm</t>
  </si>
  <si>
    <t>Self-Vending 45MM</t>
  </si>
  <si>
    <t>8+</t>
  </si>
  <si>
    <t>17cm-23cm, 12 Random Varieties</t>
  </si>
  <si>
    <t>7"-9" (17cm-23cm)</t>
  </si>
  <si>
    <t>P9310</t>
  </si>
  <si>
    <t>P9311</t>
  </si>
  <si>
    <t>Premium Dinosaurs</t>
  </si>
  <si>
    <t>8" Printed Dinosaurs</t>
  </si>
  <si>
    <t>8" (20cm-25cm)</t>
  </si>
  <si>
    <t>Size: 9cm</t>
  </si>
  <si>
    <t>Squeaky Rubber Ducks</t>
  </si>
  <si>
    <t>Mixed Plush Key-chains</t>
  </si>
  <si>
    <t>Size: 6~7cm</t>
  </si>
  <si>
    <t>Size: 7~9cm</t>
  </si>
  <si>
    <t>Antique Gold Rings</t>
  </si>
  <si>
    <t>Antique Silver Rings</t>
  </si>
  <si>
    <t>Cable Bites</t>
  </si>
  <si>
    <t>12~16</t>
  </si>
  <si>
    <t>Cartoon Duck Key-chains</t>
  </si>
  <si>
    <t>size: 50x45mm</t>
  </si>
  <si>
    <t>25cm-30cm, 12 Random Varieties</t>
  </si>
  <si>
    <t>Extra Large Plush Mix</t>
  </si>
  <si>
    <t>Small Plush Mix</t>
  </si>
  <si>
    <t>Large Plush Mix</t>
  </si>
  <si>
    <t>Mini Plush Mix</t>
  </si>
  <si>
    <t>7cm-9cm, 12 Random Varieties</t>
  </si>
  <si>
    <t>Large Claw</t>
  </si>
  <si>
    <t>Mini Claw</t>
  </si>
  <si>
    <t>Glitter Rainbow Springs</t>
  </si>
  <si>
    <t>Large Rainbow Springs</t>
  </si>
  <si>
    <r>
      <rPr>
        <sz val="9"/>
        <color indexed="10"/>
        <rFont val="Arial"/>
        <family val="2"/>
      </rPr>
      <t>Flashing</t>
    </r>
    <r>
      <rPr>
        <sz val="9"/>
        <color indexed="8"/>
        <rFont val="Arial"/>
        <family val="2"/>
      </rPr>
      <t xml:space="preserve"> Spiky Balls</t>
    </r>
  </si>
  <si>
    <t>Squishy Color-Bead Balls</t>
  </si>
  <si>
    <t>about W40*H60 cm</t>
  </si>
  <si>
    <t>Pull-back Sports Cars</t>
  </si>
  <si>
    <t>Galaxy Slimes</t>
  </si>
  <si>
    <t>Fidget Wriggle Slugs</t>
  </si>
  <si>
    <t>4*3cm tubs</t>
  </si>
  <si>
    <r>
      <t>Sparkle Balls
(</t>
    </r>
    <r>
      <rPr>
        <b/>
        <sz val="9"/>
        <color rgb="FFFF0000"/>
        <rFont val="Arial"/>
        <family val="2"/>
      </rPr>
      <t>Glitter Balls</t>
    </r>
    <r>
      <rPr>
        <b/>
        <sz val="9"/>
        <color indexed="12"/>
        <rFont val="Arial"/>
        <family val="2"/>
      </rPr>
      <t>)</t>
    </r>
  </si>
  <si>
    <t>Foil Inflatable Animals</t>
  </si>
  <si>
    <t>Taikonaut Spinners</t>
  </si>
  <si>
    <t>P4112</t>
  </si>
  <si>
    <t>4" (10cm)</t>
  </si>
  <si>
    <t>4" Reversible Octopus</t>
  </si>
  <si>
    <t>P9312</t>
  </si>
  <si>
    <t>8" Reversible Octopus</t>
  </si>
  <si>
    <t>8" (20cm)</t>
  </si>
  <si>
    <t>Large Pullback Metal Cars</t>
  </si>
  <si>
    <t>Metal Model Cars</t>
  </si>
  <si>
    <t>P4113</t>
  </si>
  <si>
    <t>Premium Fruit &amp; Veg</t>
  </si>
  <si>
    <t>Mini Fruit &amp; Veg</t>
  </si>
  <si>
    <t>7cm-10cm, 12 Characters</t>
  </si>
  <si>
    <t>P4114</t>
  </si>
  <si>
    <t>Small Fruit &amp; Veg</t>
  </si>
  <si>
    <t>8-15cm, 12 Characters</t>
  </si>
  <si>
    <t>8-13cm, 6 Characters</t>
  </si>
  <si>
    <t>approx. 32x32mm</t>
  </si>
  <si>
    <t>Size: 67x18mm</t>
  </si>
  <si>
    <t>Pop-It Strip Danglers</t>
  </si>
  <si>
    <t>Squishy Sea Animals</t>
  </si>
  <si>
    <t>random 20</t>
  </si>
  <si>
    <t>Slow Rising Cute Animals</t>
  </si>
  <si>
    <t>Slow Rising Sea Animals</t>
  </si>
  <si>
    <t>C50R</t>
  </si>
  <si>
    <t>Squishy Animal Donuts</t>
  </si>
  <si>
    <t>Finger Skateboards</t>
  </si>
  <si>
    <t>Halloween Squishies</t>
  </si>
  <si>
    <t>Christmas Squishies</t>
  </si>
  <si>
    <t>Gold Gem Rings</t>
  </si>
  <si>
    <t>Size: 4x10cm</t>
  </si>
  <si>
    <t>Size: 5x12cm</t>
  </si>
  <si>
    <t>390 Pcs</t>
  </si>
  <si>
    <t>12.5 Kg</t>
  </si>
  <si>
    <t>12.96 Kg</t>
  </si>
  <si>
    <t>18CM x 4MM</t>
  </si>
  <si>
    <t>Mini Stretch Cords</t>
  </si>
  <si>
    <t>C2218</t>
  </si>
  <si>
    <t>C2243</t>
  </si>
  <si>
    <t>Fashion Bead Bracelets</t>
  </si>
  <si>
    <t>10~22</t>
  </si>
  <si>
    <t>Stretchy Dino Puppets</t>
  </si>
  <si>
    <t>Squishy Ducks</t>
  </si>
  <si>
    <t>size: approx 55mm</t>
  </si>
  <si>
    <t>Alloy Pistol Keychains</t>
  </si>
  <si>
    <t>Alloy Bullet &amp; Bomb Keychains</t>
  </si>
  <si>
    <t>Suction Alphabet Animals</t>
  </si>
  <si>
    <t>Size: approx 4.5cm</t>
  </si>
  <si>
    <t>Pull-Back Cartoon Trucks</t>
  </si>
  <si>
    <t>Plush Octopus Purses</t>
  </si>
  <si>
    <t>4~6</t>
  </si>
  <si>
    <t>Retro Cameras</t>
  </si>
  <si>
    <t>P4115</t>
  </si>
  <si>
    <t>12cm</t>
  </si>
  <si>
    <t>C2244</t>
  </si>
  <si>
    <t>Dinosaur Slap Bands</t>
  </si>
  <si>
    <t>Blowout Noisemakers</t>
  </si>
  <si>
    <t>LED Flashlights</t>
  </si>
  <si>
    <t>EN71, 7P</t>
  </si>
  <si>
    <t>EN71, REACH</t>
  </si>
  <si>
    <t>Mini Metal Cuffs</t>
  </si>
  <si>
    <t>Squirrel Poppers</t>
  </si>
  <si>
    <t>Jump-up Monsters</t>
  </si>
  <si>
    <t>C2227</t>
  </si>
  <si>
    <t>Bullet Necklaces</t>
  </si>
  <si>
    <r>
      <t>50mm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</si>
  <si>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2125 Pcs</t>
  </si>
  <si>
    <t>15 Kg</t>
  </si>
  <si>
    <r>
      <t>Packing (</t>
    </r>
    <r>
      <rPr>
        <b/>
        <sz val="10"/>
        <color rgb="FFFF0000"/>
        <rFont val="Arial"/>
        <family val="2"/>
      </rPr>
      <t>Capsuled in C92</t>
    </r>
    <r>
      <rPr>
        <b/>
        <sz val="10"/>
        <color indexed="12"/>
        <rFont val="Arial"/>
        <family val="2"/>
      </rPr>
      <t xml:space="preserve">) - 50pcs/bag, 4bags(200pcs)/ctn/61*45*57cm, 180ctns/20'GP, 436ctns/40'HQ </t>
    </r>
  </si>
  <si>
    <t>C58</t>
  </si>
  <si>
    <t>C48/C50R/C56H</t>
  </si>
  <si>
    <t>Packing (Capsuled in C48/C50R/C56H):  100pcs/bag or 250pcs/bag, 1000pcs/ctn/57*45*47cm,  240ctns/20'GP, 555ctns/40'HQ</t>
  </si>
  <si>
    <t>Suction Dinosaurs</t>
  </si>
  <si>
    <t>Transformable Dino Cars</t>
  </si>
  <si>
    <t>Mini Halloween Masks</t>
  </si>
  <si>
    <t>80x60x50cm</t>
  </si>
  <si>
    <t>85x65x53cm</t>
  </si>
  <si>
    <t>83x65x52cm</t>
  </si>
  <si>
    <t>P4116S</t>
  </si>
  <si>
    <t>P4116M</t>
  </si>
  <si>
    <t>P4116L</t>
  </si>
  <si>
    <t>P4117S</t>
  </si>
  <si>
    <t>P4117M</t>
  </si>
  <si>
    <t>P4117L</t>
  </si>
  <si>
    <t>4cm Dices</t>
  </si>
  <si>
    <t>6cm Dices</t>
  </si>
  <si>
    <t>8cm Dices</t>
  </si>
  <si>
    <t>4cm Emoji Dices</t>
  </si>
  <si>
    <t>6cm Emoji Dices</t>
  </si>
  <si>
    <t>8cm Emoji Dices</t>
  </si>
  <si>
    <t>Crocs Shoe Charms</t>
  </si>
  <si>
    <t>Size: 3-3.5cm</t>
  </si>
  <si>
    <t>Halloween Jumpers</t>
  </si>
  <si>
    <t>Puppy Dress-ups</t>
  </si>
  <si>
    <t>P9M3</t>
  </si>
  <si>
    <t>P9313</t>
  </si>
  <si>
    <t>P9314</t>
  </si>
  <si>
    <t>10" Reversible Octopus</t>
  </si>
  <si>
    <t>10" (25cm)</t>
  </si>
  <si>
    <t>18cm Footballs</t>
  </si>
  <si>
    <t>Animal Slingshots</t>
  </si>
  <si>
    <t>C5207</t>
  </si>
  <si>
    <t>Puffer Monsters</t>
  </si>
  <si>
    <t>Portable Pets</t>
  </si>
  <si>
    <t>2 pcs in each capsule</t>
  </si>
  <si>
    <t>30mm 3D Puzzle Balls</t>
  </si>
  <si>
    <t>Painted Sports Balls</t>
  </si>
  <si>
    <t>Octopus Phone Stands</t>
  </si>
  <si>
    <t>Adopt A Puppy (Flocked)</t>
  </si>
  <si>
    <t>Pliable Animals</t>
  </si>
  <si>
    <t>Ocean Bead Balls</t>
  </si>
  <si>
    <t>16cm, 15g</t>
  </si>
  <si>
    <t>Adopt A Puppy</t>
  </si>
  <si>
    <t>Galaxy Slime Balls</t>
  </si>
  <si>
    <t>Assorted Mini Figure Builds</t>
  </si>
  <si>
    <t>Mega Punch Balloons</t>
  </si>
  <si>
    <t>8g, 18 inches</t>
  </si>
  <si>
    <t>Insect Amber Keychains</t>
  </si>
  <si>
    <t>C2308</t>
  </si>
  <si>
    <t>Sticky Eye Stretchy Yoyos</t>
  </si>
  <si>
    <t>C3217</t>
  </si>
  <si>
    <t>Fruit Splat Balls</t>
  </si>
  <si>
    <t>Sticky Dinosaur Splats</t>
  </si>
  <si>
    <t>Mesh Ball Yoyos</t>
  </si>
  <si>
    <t>Squishy Mesh Balls</t>
  </si>
  <si>
    <t>Shooting Star YoYo Balls</t>
  </si>
  <si>
    <t>Noodle Stretchy YoYos</t>
  </si>
  <si>
    <t>Glowing Sticky Eyeballs</t>
  </si>
  <si>
    <t>Large Sticky Animals</t>
  </si>
  <si>
    <t>Crawlers (Wall Climbers)</t>
  </si>
  <si>
    <t>Zipper Bracelets w/Pendants</t>
  </si>
  <si>
    <t>Bead Bracelets</t>
  </si>
  <si>
    <t>Emoji Flashing Rings</t>
  </si>
  <si>
    <t>Wiggly Eye Rings</t>
  </si>
  <si>
    <t>Pirate Skull Danglers</t>
  </si>
  <si>
    <t>Alloy Battleplane Keychains</t>
  </si>
  <si>
    <t>Flip-Flops Keychains</t>
  </si>
  <si>
    <t>Farm Animals</t>
  </si>
  <si>
    <t>Bug Climbers (Wall Climbers)</t>
  </si>
  <si>
    <t>Suction Balls</t>
  </si>
  <si>
    <t>Zombie Finger Puppets</t>
  </si>
  <si>
    <t>Finger Lights</t>
  </si>
  <si>
    <t>50mm 3D Puzzle Balls</t>
  </si>
  <si>
    <t>Moody Face Balls</t>
  </si>
  <si>
    <t>Noisy Toilet Putty</t>
  </si>
  <si>
    <t>Voodoo Dolls (String Dolls)</t>
  </si>
  <si>
    <t>Pillow Pals</t>
  </si>
  <si>
    <t>12+</t>
  </si>
  <si>
    <t>Disguise Moustache</t>
  </si>
  <si>
    <t>Mini Puffimals</t>
  </si>
  <si>
    <t>Glitter Sequin Keychains</t>
  </si>
  <si>
    <t>Pirate Eye Patches</t>
  </si>
  <si>
    <t>Realistic Insects</t>
  </si>
  <si>
    <t>Insect &amp; Frog Slingshots</t>
  </si>
  <si>
    <t>Magic Wiggly Worms</t>
  </si>
  <si>
    <t>Alloy Grenades Keychains</t>
  </si>
  <si>
    <t>Sports Theme Yo-Yos</t>
  </si>
  <si>
    <r>
      <rPr>
        <sz val="9"/>
        <color indexed="10"/>
        <rFont val="Arial"/>
        <family val="2"/>
      </rPr>
      <t>Flashing</t>
    </r>
    <r>
      <rPr>
        <sz val="9"/>
        <color indexed="8"/>
        <rFont val="Arial"/>
        <family val="2"/>
      </rPr>
      <t xml:space="preserve"> Sports Yo-Yo</t>
    </r>
    <r>
      <rPr>
        <sz val="9"/>
        <color theme="1"/>
        <rFont val="Arial"/>
        <family val="2"/>
      </rPr>
      <t>s</t>
    </r>
  </si>
  <si>
    <t>Animal Eye Poppers</t>
  </si>
  <si>
    <t>LED Pistol Lights</t>
  </si>
  <si>
    <t>Smiley Bear Spring Keychains</t>
  </si>
  <si>
    <t>Slime-in-a-Can (Slime Tins)</t>
  </si>
  <si>
    <t>Suction Link-ups</t>
  </si>
  <si>
    <t>Fruit &amp; Veggie Pendants</t>
  </si>
  <si>
    <t>Profession Man Minifigure Builds</t>
  </si>
  <si>
    <t>Profession Girl Minifigure Builds</t>
  </si>
  <si>
    <t>8-IN-1 Dinosaur Builds</t>
  </si>
  <si>
    <t>Beyblades (Battle Tops)</t>
  </si>
  <si>
    <t xml:space="preserve">Mini Play Cards </t>
  </si>
  <si>
    <t>Fidget Cubes</t>
  </si>
  <si>
    <t>Snake Puzzles (Rubik's Snake)</t>
  </si>
  <si>
    <t>Mini Fidget Finger Spinners</t>
  </si>
  <si>
    <t>Squishy Animals (Premimum)</t>
  </si>
  <si>
    <t>Finger / Pencil Monkeys</t>
  </si>
  <si>
    <t>Flashing Puffer Teddies</t>
  </si>
  <si>
    <t>Adopt A Kitten</t>
  </si>
  <si>
    <t>Pup-in-a-Tub</t>
  </si>
  <si>
    <t>Face-Changing Dolls</t>
  </si>
  <si>
    <t>Light-Up Emoji Keychains</t>
  </si>
  <si>
    <t>Mega Stretchy Hands</t>
  </si>
  <si>
    <t>3D Halloween Flashing Rings</t>
  </si>
  <si>
    <t>Hatchimals</t>
  </si>
  <si>
    <t>50mm Mixed Ball Spinners</t>
  </si>
  <si>
    <t>Sticky Stretchy Skeletons</t>
  </si>
  <si>
    <t>Assorted Interlocking Puzzles</t>
  </si>
  <si>
    <t>45mm Maze Balls</t>
  </si>
  <si>
    <t>Emoji Bobbleheads</t>
  </si>
  <si>
    <t>DIY Emoji Bobblebeads</t>
  </si>
  <si>
    <t>Inertial Speed Motorcycles</t>
  </si>
  <si>
    <t>Pull-Back Sports Cars</t>
  </si>
  <si>
    <t>50mm Capsule Beyblades</t>
  </si>
  <si>
    <t>35x45mm Hatch Dino Eggs</t>
  </si>
  <si>
    <t>6-in-1 Airplane Buildz</t>
  </si>
  <si>
    <t>Pull-Back Cartoon Planes</t>
  </si>
  <si>
    <t>Pull-Back Cartoon Cars</t>
  </si>
  <si>
    <t>Spiky Bracelets (Animal Ed.)</t>
  </si>
  <si>
    <t>5-in-1 Insect Builds</t>
  </si>
  <si>
    <t>Caterpillar Bracelets</t>
  </si>
  <si>
    <t>6-in-1 Fire Engine Builds</t>
  </si>
  <si>
    <t>6-in-1 Engineering Builds</t>
  </si>
  <si>
    <t>Animal Toothbrush Holders</t>
  </si>
  <si>
    <t>Fidget Snappers</t>
  </si>
  <si>
    <t>Retro Alloy Pistols</t>
  </si>
  <si>
    <t>Squeeze Toilet Poop</t>
  </si>
  <si>
    <t>Fidget Tangle Twisters</t>
  </si>
  <si>
    <t>Cable Organizers</t>
  </si>
  <si>
    <t>3 pcs per capsule</t>
  </si>
  <si>
    <t>Tractors &amp; Trucks Builds</t>
  </si>
  <si>
    <t>Weapon &amp; Gear Mix</t>
  </si>
  <si>
    <t>3D Christmas Rings</t>
  </si>
  <si>
    <t>Suction Pen Holders / Toppes</t>
  </si>
  <si>
    <t>Dinosaur Stress Balls</t>
  </si>
  <si>
    <t>Bird Poppers</t>
  </si>
  <si>
    <t>Assorted Tumblers</t>
  </si>
  <si>
    <t>Alien Bead Brains</t>
  </si>
  <si>
    <t>Squishy Naughty Kittens</t>
  </si>
  <si>
    <t>Slow Rising Cakes &amp; Donuts</t>
  </si>
  <si>
    <t>Interlocking Puzzle Keychains</t>
  </si>
  <si>
    <t>Pullback Metal Cars</t>
  </si>
  <si>
    <t>Animal Dress-ups</t>
  </si>
  <si>
    <t>Rock-Scissors-Paper Games</t>
  </si>
  <si>
    <t>Ninji Cats (Disguised Animals)</t>
  </si>
  <si>
    <t>Minimal Bracelets</t>
  </si>
  <si>
    <t>Window Walker Frogs (Wall Climbers)</t>
  </si>
  <si>
    <t>72mm Emoji Stress Balls</t>
  </si>
  <si>
    <t>12x8cm</t>
  </si>
  <si>
    <t>Large Fashion Purses</t>
  </si>
  <si>
    <t>Large Ruber Ducks</t>
  </si>
  <si>
    <t>Large Snake Puzzle</t>
  </si>
  <si>
    <t>53mm Magic Cubes</t>
  </si>
  <si>
    <t>6cm Plush Dice Danglers</t>
  </si>
  <si>
    <t>Large Finger Spinners</t>
  </si>
  <si>
    <t>Birthday Sunglasses</t>
  </si>
  <si>
    <t>Pop Tube Dinosaurs</t>
  </si>
  <si>
    <t>6cm Spiky Molecule Balls</t>
  </si>
  <si>
    <t>6cm Emoji Stress Balls</t>
  </si>
  <si>
    <r>
      <rPr>
        <sz val="9"/>
        <color rgb="FFFF0000"/>
        <rFont val="Arial"/>
        <family val="2"/>
      </rPr>
      <t>6cm Flashing</t>
    </r>
    <r>
      <rPr>
        <sz val="9"/>
        <rFont val="Arial"/>
        <family val="2"/>
      </rPr>
      <t xml:space="preserve"> Suction Balls</t>
    </r>
  </si>
  <si>
    <r>
      <rPr>
        <sz val="9"/>
        <color indexed="10"/>
        <rFont val="Arial"/>
        <family val="2"/>
      </rPr>
      <t>55mm Flashing</t>
    </r>
    <r>
      <rPr>
        <sz val="9"/>
        <color indexed="8"/>
        <rFont val="Arial"/>
        <family val="2"/>
      </rPr>
      <t xml:space="preserve"> Spiky Balls</t>
    </r>
  </si>
  <si>
    <t>55mm Squishy Fruit Balls</t>
  </si>
  <si>
    <t>60mm Fruit Splat Balls</t>
  </si>
  <si>
    <t>60mm Assorted Splatterz</t>
  </si>
  <si>
    <t>4cm Plush Dices</t>
  </si>
  <si>
    <t>Knitted Kickballs</t>
  </si>
  <si>
    <t>Light-Up Friction Tops</t>
  </si>
  <si>
    <t>Light-Up Yo-Yos</t>
  </si>
  <si>
    <t>Large String Dolls</t>
  </si>
  <si>
    <t>Light-Up Skateboards</t>
  </si>
  <si>
    <t>Puking Egg Yolk Balls</t>
  </si>
  <si>
    <t>Insect Slime Tubs</t>
  </si>
  <si>
    <t>Fidget Finger Spinners</t>
  </si>
  <si>
    <t>4x5cm Hatching Dino Eggs</t>
  </si>
  <si>
    <t>3D Heart-Shaped Maze Balls</t>
  </si>
  <si>
    <t>4cm Magic Cubes</t>
  </si>
  <si>
    <t>Large Beyblades</t>
  </si>
  <si>
    <t>Lge Interlocking Puzzle Mix</t>
  </si>
  <si>
    <t>Assorted Animal Stress Balls</t>
  </si>
  <si>
    <t>Stretchy Pugs</t>
  </si>
  <si>
    <t>Large Rubber Ducks</t>
  </si>
  <si>
    <t>Christmas Pull Back Cars</t>
  </si>
  <si>
    <t>Mini Dice Cup Set</t>
  </si>
  <si>
    <t>Large Alien Bead Brains</t>
  </si>
  <si>
    <t>Sports Frisbees</t>
  </si>
  <si>
    <t>Lge Glitter Squeaky Ducks</t>
  </si>
  <si>
    <t>Wind-Up Chatter Teeth</t>
  </si>
  <si>
    <t>1x1.7x27.5cm</t>
  </si>
  <si>
    <t>Puppies in Tins</t>
  </si>
  <si>
    <t>Stretchy Bone Bracelets</t>
  </si>
  <si>
    <t>216502F</t>
  </si>
  <si>
    <r>
      <rPr>
        <sz val="9"/>
        <color rgb="FFFF0000"/>
        <rFont val="Arial"/>
        <family val="2"/>
      </rPr>
      <t>9cm Flashing</t>
    </r>
    <r>
      <rPr>
        <sz val="9"/>
        <color theme="1"/>
        <rFont val="Arial"/>
        <family val="2"/>
      </rPr>
      <t xml:space="preserve"> Jumpers</t>
    </r>
  </si>
  <si>
    <r>
      <t>Flashing</t>
    </r>
    <r>
      <rPr>
        <sz val="9"/>
        <rFont val="Arial"/>
        <family val="2"/>
      </rPr>
      <t xml:space="preserve"> Water Balls</t>
    </r>
  </si>
  <si>
    <t>https://www.ChinaCapsuleToys.com</t>
  </si>
  <si>
    <t>TOY VENDING SUPPLIES</t>
  </si>
  <si>
    <t>Magnetic Butterflies</t>
  </si>
  <si>
    <t>Minimals</t>
  </si>
  <si>
    <t>Stretchy Spiders</t>
  </si>
  <si>
    <t>Stickies (Suction Monsters)</t>
  </si>
  <si>
    <t>Fruit Erasers</t>
  </si>
  <si>
    <t>Insect Slingshots</t>
  </si>
  <si>
    <t>Stretchy Noodle Yo-Yos</t>
  </si>
  <si>
    <t>Water Growing Dinosaurs</t>
  </si>
  <si>
    <t>Small Stretchy Skeletons</t>
  </si>
  <si>
    <t>Snake &amp; Ladder Game Set</t>
  </si>
  <si>
    <t>Mini Aliens</t>
  </si>
  <si>
    <t>Dinosaur Stamps</t>
  </si>
  <si>
    <t>Mini Fast Food Erasers</t>
  </si>
  <si>
    <t>Mini Sports Aliens</t>
  </si>
  <si>
    <t>Sticky Sea Animals</t>
  </si>
  <si>
    <t>Stretchy Animals</t>
  </si>
  <si>
    <t>Lucky Trolls</t>
  </si>
  <si>
    <t>Easter Silicone Bands</t>
  </si>
  <si>
    <t>20cm x 0.5cm</t>
  </si>
  <si>
    <t>Size: 7.5cm x 3cm</t>
  </si>
  <si>
    <t>Squeaky Vinyl Animals</t>
  </si>
  <si>
    <t>Slow-Rising Fast Food</t>
  </si>
  <si>
    <t>Farm Squishies</t>
  </si>
  <si>
    <t>Squishy Jungle Animals</t>
  </si>
  <si>
    <t>Animal Stress Balls</t>
  </si>
  <si>
    <t>Fidget Pop Tubes</t>
  </si>
  <si>
    <t>12cm x 1.7cm</t>
  </si>
  <si>
    <t>24cm x 0.8cm</t>
  </si>
  <si>
    <t>Stretchy Cords</t>
  </si>
  <si>
    <t>Large Fidget Tubes</t>
  </si>
  <si>
    <t>14cm x 1.9cm</t>
  </si>
  <si>
    <t>26.5cm x 1cm</t>
  </si>
  <si>
    <t>Monster Finger Puppets</t>
  </si>
  <si>
    <t>Small Stretchy Cords</t>
  </si>
  <si>
    <t>Imitation Jade Rings</t>
  </si>
  <si>
    <t>Vintage Patterned Rings</t>
  </si>
  <si>
    <t>Sticky Hands &amp; Balls</t>
  </si>
  <si>
    <t>Small Sticky Animals</t>
  </si>
  <si>
    <t>Small Stretchy Animals</t>
  </si>
  <si>
    <t>Sticky Eyeball Splatters</t>
  </si>
  <si>
    <r>
      <t xml:space="preserve">C1302 </t>
    </r>
    <r>
      <rPr>
        <sz val="9"/>
        <color indexed="8"/>
        <rFont val="宋体"/>
        <family val="3"/>
        <charset val="134"/>
      </rPr>
      <t/>
    </r>
  </si>
  <si>
    <r>
      <t>C1303</t>
    </r>
    <r>
      <rPr>
        <sz val="9"/>
        <color indexed="8"/>
        <rFont val="宋体"/>
        <family val="3"/>
        <charset val="134"/>
      </rPr>
      <t/>
    </r>
  </si>
  <si>
    <t>Stretchy Crawly Animals</t>
  </si>
  <si>
    <t>Large Sticky Hands</t>
  </si>
  <si>
    <t>Approx. 8x18cm</t>
  </si>
  <si>
    <t>Dinosaur Ice Cube Squishies</t>
  </si>
  <si>
    <t>Fruit Ice Cube Squishies</t>
  </si>
  <si>
    <t>Slow-Rising Chunky Animals</t>
  </si>
  <si>
    <t>Easter Wristbands</t>
  </si>
  <si>
    <t>12-in-1 Insect Builds</t>
  </si>
  <si>
    <t>12-in-1 Sea Animal Builds</t>
  </si>
  <si>
    <t>39*35*48mm, 8.8g</t>
  </si>
  <si>
    <t>25*25*25mm, 13g</t>
  </si>
  <si>
    <t>25*25*25mm, 11g</t>
  </si>
  <si>
    <t>3x19.5cm, 5g</t>
  </si>
  <si>
    <t>Size: 4.5x7cm</t>
  </si>
  <si>
    <t>Vintage Alloy Carved Rings</t>
  </si>
  <si>
    <t>Gem Rings #1</t>
  </si>
  <si>
    <t>Gem Rings #2</t>
  </si>
  <si>
    <t>C1264</t>
  </si>
  <si>
    <t>C1265</t>
  </si>
  <si>
    <t>Metal Gem Rings</t>
  </si>
  <si>
    <t>Metal Diamond Gem Rings</t>
  </si>
  <si>
    <t>Small Dinosaur Slingshots</t>
  </si>
  <si>
    <t>Mini Spin Tops</t>
  </si>
  <si>
    <t>Mini Jungle Animals</t>
  </si>
  <si>
    <t>Mini Farm Animals</t>
  </si>
  <si>
    <t>Mini Stretchy Dinosaurs</t>
  </si>
  <si>
    <t>Size: 2.8-3cm</t>
  </si>
  <si>
    <t>Grow Dinosaurs</t>
  </si>
  <si>
    <t>Grow Sea Animals</t>
  </si>
  <si>
    <t>Smiley Stretch Men</t>
  </si>
  <si>
    <t>Painted Zombie Puppets</t>
  </si>
  <si>
    <t>Back Moustache</t>
  </si>
  <si>
    <t>Color Moustache</t>
  </si>
  <si>
    <t>Mini Zombie Puppets</t>
  </si>
  <si>
    <t>Junior Painted Rings</t>
  </si>
  <si>
    <t>Senior Painted Rings</t>
  </si>
  <si>
    <t>Size: 13mm-15mm</t>
  </si>
  <si>
    <t>Size: 17mm-19mm</t>
  </si>
  <si>
    <t>Googly-Eye Rings</t>
  </si>
  <si>
    <t>Spin Flower  Rings</t>
  </si>
  <si>
    <t>Knitted Finger Bands</t>
  </si>
  <si>
    <t>Gold Pendant Necklaces</t>
  </si>
  <si>
    <t>Gold Letter Necklaces</t>
  </si>
  <si>
    <r>
      <t xml:space="preserve">C1201 </t>
    </r>
    <r>
      <rPr>
        <sz val="9"/>
        <color indexed="8"/>
        <rFont val="宋体"/>
        <family val="3"/>
        <charset val="134"/>
      </rPr>
      <t/>
    </r>
  </si>
  <si>
    <r>
      <t xml:space="preserve">C1202 </t>
    </r>
    <r>
      <rPr>
        <sz val="9"/>
        <color indexed="8"/>
        <rFont val="宋体"/>
        <family val="3"/>
        <charset val="134"/>
      </rPr>
      <t/>
    </r>
  </si>
  <si>
    <t>Size: 3x5cm</t>
  </si>
  <si>
    <t>Turkey Slingshots</t>
  </si>
  <si>
    <t>C1105</t>
  </si>
  <si>
    <t>C1104</t>
  </si>
  <si>
    <t>Mini Squishy Ice Cubes</t>
  </si>
  <si>
    <t>Mini Squishy Animals</t>
  </si>
  <si>
    <t>size: 15mm</t>
  </si>
  <si>
    <t>weight: approx. 3g</t>
  </si>
  <si>
    <t>C5208</t>
  </si>
  <si>
    <t>Small Squishy Animals</t>
  </si>
  <si>
    <t>weight: approx. 5g</t>
  </si>
  <si>
    <t>30+</t>
  </si>
  <si>
    <t>C1102</t>
  </si>
  <si>
    <t>Mini Urchin Balls</t>
  </si>
  <si>
    <t>size: 25mm</t>
  </si>
  <si>
    <t>C2335F</t>
  </si>
  <si>
    <t>C2236F</t>
  </si>
  <si>
    <t>C2337F</t>
  </si>
  <si>
    <t>155049F</t>
  </si>
  <si>
    <t>Suction Sea Animals</t>
  </si>
  <si>
    <t>Sea Urchin Balls</t>
  </si>
  <si>
    <t>Size: 50mm</t>
  </si>
  <si>
    <t>Mini Animal Viewers</t>
  </si>
  <si>
    <t>Small Glitter Ducks</t>
  </si>
  <si>
    <t>Popping Pals</t>
  </si>
  <si>
    <t>C2200</t>
  </si>
  <si>
    <t>Flashing Jelly Rings</t>
  </si>
  <si>
    <t>C2330B</t>
  </si>
  <si>
    <r>
      <rPr>
        <sz val="9"/>
        <color rgb="FFFF0000"/>
        <rFont val="Arial"/>
        <family val="2"/>
      </rPr>
      <t>Printed</t>
    </r>
    <r>
      <rPr>
        <sz val="9"/>
        <color theme="1"/>
        <rFont val="Arial"/>
        <family val="2"/>
      </rPr>
      <t xml:space="preserve"> Sports Stress Balls</t>
    </r>
  </si>
  <si>
    <t>Painted Sports Stress Balls</t>
  </si>
  <si>
    <t>Size: 4cm</t>
  </si>
  <si>
    <t>Ball Size: 40mm</t>
  </si>
  <si>
    <t>Finger Biting Dinosaurs</t>
  </si>
  <si>
    <t>6cm Sports Stress Balls</t>
  </si>
  <si>
    <t>C65R</t>
  </si>
  <si>
    <r>
      <t>65mm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</si>
  <si>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770 Pcs</t>
  </si>
  <si>
    <r>
      <t>32mm Round Capsule (</t>
    </r>
    <r>
      <rPr>
        <sz val="8"/>
        <color rgb="FFFF0000"/>
        <rFont val="Arial"/>
        <family val="2"/>
      </rPr>
      <t>PP</t>
    </r>
    <r>
      <rPr>
        <sz val="8"/>
        <color indexed="8"/>
        <rFont val="Arial"/>
        <family val="2"/>
      </rPr>
      <t>)</t>
    </r>
  </si>
  <si>
    <t>Animal Water Guns</t>
  </si>
  <si>
    <t>Mini Adopt-A-Puppy</t>
  </si>
  <si>
    <t>Stretchy Puppies</t>
  </si>
  <si>
    <t>Size: 2-3cm</t>
  </si>
  <si>
    <t>Slow-Rise Big Eye Animals</t>
  </si>
  <si>
    <t>Slow-Rise Octopus</t>
  </si>
  <si>
    <t>Flour Stress Balls</t>
  </si>
  <si>
    <t>Size: 45-55mm</t>
  </si>
  <si>
    <t>Squishy Big Eye Puppies</t>
  </si>
  <si>
    <t>Bug-inside Air YoYo Balls</t>
  </si>
  <si>
    <t>Fruit Air Yo-Yo Balls</t>
  </si>
  <si>
    <t>Emoji Rubber Ducks</t>
  </si>
  <si>
    <t>Emotional Rubber Ducks</t>
  </si>
  <si>
    <t>Pop Bubble Stress Balls</t>
  </si>
  <si>
    <t>P4118</t>
  </si>
  <si>
    <t>Hat Ducks</t>
  </si>
  <si>
    <t>12cm, with ball chains, 3 colors</t>
  </si>
  <si>
    <t>5000 (5bxs)</t>
  </si>
  <si>
    <t>4000 (4bxs)</t>
  </si>
  <si>
    <t>2500 (2bxs)</t>
  </si>
  <si>
    <t>1200 (2bxs)</t>
  </si>
  <si>
    <t>2520 (3bxs)</t>
  </si>
  <si>
    <t>2400 (2bxs)</t>
  </si>
  <si>
    <t>4800 (2bxs)</t>
  </si>
  <si>
    <t>2400 (5bxs)</t>
  </si>
  <si>
    <t>2300 (5bxs)</t>
  </si>
  <si>
    <t>500 (5bxs)</t>
  </si>
  <si>
    <t>1440 (10bxs)</t>
  </si>
  <si>
    <t>600 (10bxs)</t>
  </si>
  <si>
    <t>900 (10bxs)</t>
  </si>
  <si>
    <t>4600 (10bxs)</t>
  </si>
  <si>
    <t>2200 (20bxs)</t>
  </si>
  <si>
    <t>1000 (20bxs)</t>
  </si>
  <si>
    <t>Variety</t>
  </si>
  <si>
    <t>MOQ</t>
  </si>
  <si>
    <t>Box Size &amp; Weight</t>
  </si>
  <si>
    <t>Pcs/Box</t>
  </si>
  <si>
    <t>BT2143</t>
  </si>
  <si>
    <t>assorted</t>
  </si>
  <si>
    <t>BT2142</t>
  </si>
  <si>
    <t>4 colors</t>
  </si>
  <si>
    <t>2304 (4bxs)</t>
  </si>
  <si>
    <t>56*28.5*40cm, 14.4kg</t>
  </si>
  <si>
    <t>BT2141</t>
  </si>
  <si>
    <t>6 styles</t>
  </si>
  <si>
    <t>1440 (5bxs)</t>
  </si>
  <si>
    <t>BT2140</t>
  </si>
  <si>
    <t>5 styles</t>
  </si>
  <si>
    <t>2000 (2bxs)</t>
  </si>
  <si>
    <t xml:space="preserve"> 77*36*50cm, 14.8kg</t>
  </si>
  <si>
    <t>BT2139</t>
  </si>
  <si>
    <t>63*42*32cm, 14kg</t>
  </si>
  <si>
    <t>BT2138</t>
  </si>
  <si>
    <t>5 colors</t>
  </si>
  <si>
    <t>3200 (4bxs)</t>
  </si>
  <si>
    <t>40*35*52cm, 31.92kg</t>
  </si>
  <si>
    <t>BT2137</t>
  </si>
  <si>
    <t>4500 (3bxs)</t>
  </si>
  <si>
    <t xml:space="preserve"> 35*36*50cm, 26.2kg</t>
  </si>
  <si>
    <t>BT2136</t>
  </si>
  <si>
    <t>3 colors</t>
  </si>
  <si>
    <t>1920 (4bxs)</t>
  </si>
  <si>
    <t xml:space="preserve"> 64*40*32cm, 25kg</t>
  </si>
  <si>
    <t>BT2135</t>
  </si>
  <si>
    <t>2000 (4bxs)</t>
  </si>
  <si>
    <t>9*30*36cm, 12kg</t>
  </si>
  <si>
    <t>BT2134</t>
  </si>
  <si>
    <t>70x34x57cm</t>
  </si>
  <si>
    <t>BT2133</t>
  </si>
  <si>
    <t>3000 (3bxs)</t>
  </si>
  <si>
    <t xml:space="preserve"> 77*40*82cm, 19kg</t>
  </si>
  <si>
    <t>BT2132</t>
  </si>
  <si>
    <t xml:space="preserve"> 45*35*60cm, 22.25kg</t>
  </si>
  <si>
    <t>BT2131</t>
  </si>
  <si>
    <t>8 models</t>
  </si>
  <si>
    <t xml:space="preserve"> 46*45*57cm, 12.55kg</t>
  </si>
  <si>
    <t>BT2130</t>
  </si>
  <si>
    <t>1000 (5bxs)</t>
  </si>
  <si>
    <t xml:space="preserve"> 42*32*52cm, 30.85kg</t>
  </si>
  <si>
    <t>BT2129</t>
  </si>
  <si>
    <t>54*41*41cm, 26kg</t>
  </si>
  <si>
    <t>BT2128</t>
  </si>
  <si>
    <t>8000 (2bxs)</t>
  </si>
  <si>
    <t>88.5*50*60cm,24.75kg</t>
  </si>
  <si>
    <t>BT2127</t>
  </si>
  <si>
    <t>50*43*31cm, 18.5kg</t>
  </si>
  <si>
    <t>BT2126</t>
  </si>
  <si>
    <t>1500 (3bxs)</t>
  </si>
  <si>
    <t>70*50*55cm,31.9kg</t>
  </si>
  <si>
    <t>BT2125</t>
  </si>
  <si>
    <t xml:space="preserve"> 57*45*47cm, 19.75kg</t>
  </si>
  <si>
    <t>BT2124</t>
  </si>
  <si>
    <t>45*30*30cm,23.75kg</t>
  </si>
  <si>
    <t>BT2123</t>
  </si>
  <si>
    <t>83*35*63cm, 17.4kg</t>
  </si>
  <si>
    <t>BT2122</t>
  </si>
  <si>
    <t>4480 (8bxs)</t>
  </si>
  <si>
    <t>54*27*54cm, 10.4kg</t>
  </si>
  <si>
    <t>BT2121</t>
  </si>
  <si>
    <t>53*33*32cm, 18kg</t>
  </si>
  <si>
    <t>BT2120</t>
  </si>
  <si>
    <t>120 (1box)</t>
  </si>
  <si>
    <t xml:space="preserve"> 74*75.5*59cm</t>
  </si>
  <si>
    <t>BT2119</t>
  </si>
  <si>
    <t>4 models</t>
  </si>
  <si>
    <t xml:space="preserve"> 90*35*88cm, 24.35kg</t>
  </si>
  <si>
    <t>BT2118</t>
  </si>
  <si>
    <t>3600 (2bxs)</t>
  </si>
  <si>
    <t>67*35*98cm, 27kg</t>
  </si>
  <si>
    <t>BT2117</t>
  </si>
  <si>
    <t>3000 (2bxs)</t>
  </si>
  <si>
    <t xml:space="preserve"> 85*62*63cm, 30.25kg</t>
  </si>
  <si>
    <t>BT2116</t>
  </si>
  <si>
    <t>50*35*60cm, 13kg</t>
  </si>
  <si>
    <t>BT2115</t>
  </si>
  <si>
    <t>BT2114</t>
  </si>
  <si>
    <t>BT2113</t>
  </si>
  <si>
    <t>BT2112</t>
  </si>
  <si>
    <t>1800 (3bxs)</t>
  </si>
  <si>
    <t>52*31*35cm, 35.6kg</t>
  </si>
  <si>
    <t>BT2111</t>
  </si>
  <si>
    <t>3 styles</t>
  </si>
  <si>
    <t>1200 (1box)</t>
  </si>
  <si>
    <t>60*40*60cm, 27.4kg</t>
  </si>
  <si>
    <t>BT2110</t>
  </si>
  <si>
    <t>2304 (3bxs)</t>
  </si>
  <si>
    <t xml:space="preserve"> 65*43*51cm, 22kg</t>
  </si>
  <si>
    <t>BT2109</t>
  </si>
  <si>
    <t>1080 (3bxs)</t>
  </si>
  <si>
    <t xml:space="preserve"> 85*41*78cm, 22.3kg</t>
  </si>
  <si>
    <t>BT2108</t>
  </si>
  <si>
    <t>63*36*71cm, 19.9kg</t>
  </si>
  <si>
    <t>BT2107</t>
  </si>
  <si>
    <t>2 styles</t>
  </si>
  <si>
    <t>3200 (2bxs)</t>
  </si>
  <si>
    <t>78*35*85cm, 22.8kg</t>
  </si>
  <si>
    <t>BT2106</t>
  </si>
  <si>
    <t>69*50*62cm, 12.2kg</t>
  </si>
  <si>
    <t>BT2105</t>
  </si>
  <si>
    <t>4000 (2bxs)</t>
  </si>
  <si>
    <t>83*40*60cm,19.45kg</t>
  </si>
  <si>
    <t>BT2104</t>
  </si>
  <si>
    <t>2100 (7bxs)</t>
  </si>
  <si>
    <t>62*37*32cm, 21kg</t>
  </si>
  <si>
    <t>BT2103</t>
  </si>
  <si>
    <t>3360 (7bxs)</t>
  </si>
  <si>
    <t>48*34*34cm, 16.15kg</t>
  </si>
  <si>
    <t>BT2102</t>
  </si>
  <si>
    <t>88*42*86cm, 20.5kg</t>
  </si>
  <si>
    <t>BT2101</t>
  </si>
  <si>
    <t xml:space="preserve"> 61.5*46*76cm, 25.5kg</t>
  </si>
  <si>
    <t>2400 (4bxs)</t>
  </si>
  <si>
    <t>57*21*51cm, 23.55kg</t>
  </si>
  <si>
    <t>12 styles</t>
  </si>
  <si>
    <t>2160 (3bxs)</t>
  </si>
  <si>
    <t>75*46*58cm, 13.5kg</t>
  </si>
  <si>
    <t>3600 (3bxs)</t>
  </si>
  <si>
    <t>75*50*40cm, 15.9kg</t>
  </si>
  <si>
    <t>C4124B</t>
  </si>
  <si>
    <t>79*35*66cm, 20kg</t>
  </si>
  <si>
    <t>C4124A</t>
  </si>
  <si>
    <t>79*35*66cm, 18kg</t>
  </si>
  <si>
    <t>C4106</t>
  </si>
  <si>
    <t>2880 (8bxs)</t>
  </si>
  <si>
    <t>54*33*34cm, 17kg</t>
  </si>
  <si>
    <t>4 designs</t>
  </si>
  <si>
    <t>3600 (5bxs)</t>
  </si>
  <si>
    <t>49*34*77cm, 11kg</t>
  </si>
  <si>
    <t>6 designs</t>
  </si>
  <si>
    <t xml:space="preserve"> 58*50*43cm, 28.4kg</t>
  </si>
  <si>
    <t>1920 (1box)</t>
  </si>
  <si>
    <t>82*42*73cm, 27kg</t>
  </si>
  <si>
    <t>6 colors</t>
  </si>
  <si>
    <t>50*40*35cm, 10.65kg</t>
  </si>
  <si>
    <t>6000 (2bxs)</t>
  </si>
  <si>
    <t>47*35*75cm, 27.2kg</t>
  </si>
  <si>
    <t>12 models</t>
  </si>
  <si>
    <t>66*38*38cm, 22.8kg</t>
  </si>
  <si>
    <t>3000 (2 bxs)</t>
  </si>
  <si>
    <t>55*44*34cm, 23.15kg</t>
  </si>
  <si>
    <t>4000 (2 bxs)</t>
  </si>
  <si>
    <t>74*38*69cm, 25.45kg</t>
  </si>
  <si>
    <t>2000 (2 bxs)</t>
  </si>
  <si>
    <t>50*40*40cm,14.95kg</t>
  </si>
  <si>
    <t>48*48*45cm, 16.9kg</t>
  </si>
  <si>
    <t>4 styles</t>
  </si>
  <si>
    <t>4000 (4 bxs)</t>
  </si>
  <si>
    <t>60*46*60cm, 14kg</t>
  </si>
  <si>
    <t>3750 (3 bxs)</t>
  </si>
  <si>
    <t>62*33*57cm, 20.2kg</t>
  </si>
  <si>
    <t>4800 (2 bxs)</t>
  </si>
  <si>
    <t>60*50*78cm, 25kg</t>
  </si>
  <si>
    <t>55*43*37cm, 20.9kg</t>
  </si>
  <si>
    <t>1200 (5 bxs)</t>
  </si>
  <si>
    <t>36*29*56cm, 30.8kg</t>
  </si>
  <si>
    <t>C2228</t>
  </si>
  <si>
    <t>Dogtag Necklaces</t>
  </si>
  <si>
    <t>Box Size</t>
  </si>
  <si>
    <t>Metal Sports Cars (8cm)</t>
  </si>
  <si>
    <t>separate gift box</t>
  </si>
  <si>
    <t>Squirrel Popper (5.5cm)</t>
  </si>
  <si>
    <t>24/cdu (counter display unit)</t>
  </si>
  <si>
    <t>12/cdu</t>
  </si>
  <si>
    <t>separate gift box，10/cdu</t>
  </si>
  <si>
    <t>separate gift box，12/cdu</t>
  </si>
  <si>
    <t>100/bag</t>
  </si>
  <si>
    <t>12/bag</t>
  </si>
  <si>
    <t>1set per net bag</t>
  </si>
  <si>
    <t>hand pump coming in each box</t>
  </si>
  <si>
    <t>in separate bag</t>
  </si>
  <si>
    <t>in separate bag，24/cdu</t>
  </si>
  <si>
    <t>in separate bag，12/cdu</t>
  </si>
  <si>
    <t>in separate header bag，8/cdu</t>
  </si>
  <si>
    <t>on blister card</t>
  </si>
  <si>
    <t>6/bag</t>
  </si>
  <si>
    <t>in separate header bag</t>
  </si>
  <si>
    <t>100 per net bag</t>
  </si>
  <si>
    <t>1 set per card bag</t>
  </si>
  <si>
    <t>in separate bag，</t>
  </si>
  <si>
    <t>in separate bag, 80/pack(1 model)</t>
  </si>
  <si>
    <t>Wind-up Teeth (4.5-6.5cm)</t>
  </si>
  <si>
    <t>Bird/Chick Popperrs (5.5cm)</t>
  </si>
  <si>
    <t>16cm Knobby Balls</t>
  </si>
  <si>
    <t>8cm Kobby Balls</t>
  </si>
  <si>
    <t>Squishy Geese (8cm)</t>
  </si>
  <si>
    <t>Tyre Yo-Yos (5.3cm)</t>
  </si>
  <si>
    <t>Alloy Yo-Yos (5.5cm)</t>
  </si>
  <si>
    <t>Manual Fans (12*6cm)</t>
  </si>
  <si>
    <t>Inertia Dino Cars (7-9cm)</t>
  </si>
  <si>
    <t>Metal Stunt Cars (8.5cm)</t>
  </si>
  <si>
    <t>Strethy Pigs (8.5cm)</t>
  </si>
  <si>
    <t>Squishy Unicorns (11.5cm)</t>
  </si>
  <si>
    <t>Ejection Skateboards(10cm)</t>
  </si>
  <si>
    <t>Lge Squishy Animals (8cm)</t>
  </si>
  <si>
    <t>Batch Duck Set (10.5cm)</t>
  </si>
  <si>
    <t>Kids Soccer Balls (15cm)</t>
  </si>
  <si>
    <t>Assorted Keychains (4-7cm)</t>
  </si>
  <si>
    <t>Flashing Puffer Balls (12cm)</t>
  </si>
  <si>
    <t>Hand Clappers (19cm)</t>
  </si>
  <si>
    <t>Squishy Beady Bears (5cm)</t>
  </si>
  <si>
    <t>UFO Drones (11.5cm)</t>
  </si>
  <si>
    <t>with 5 sensors, separate gift box</t>
  </si>
  <si>
    <t>Engineering Trucks (11cm)</t>
  </si>
  <si>
    <t>Water Pistols (7*6.3cm)</t>
  </si>
  <si>
    <t>Pull Back Vans (8.5cm)</t>
  </si>
  <si>
    <t>Emotional Ducks (5.5cm)</t>
  </si>
  <si>
    <t>Emoji Ducks (5.5cm)</t>
  </si>
  <si>
    <t>Glitter Ducks (5.5cm)</t>
  </si>
  <si>
    <t>Colorful Ducks (5.5cm)</t>
  </si>
  <si>
    <t>Neon Balls (21cm, 60g)</t>
  </si>
  <si>
    <t>Jewelry Set (22*5.5cm)</t>
  </si>
  <si>
    <t>Rainbow Springs (5*5.5cm)</t>
  </si>
  <si>
    <t>with lids, shrink-wrapped</t>
  </si>
  <si>
    <t>Transport Set (25*13cm)</t>
  </si>
  <si>
    <t>3-in-1 on blister card</t>
  </si>
  <si>
    <t>Camera Projectors(10*7cm)</t>
  </si>
  <si>
    <t>Sunglasses (7.5*6.5cm)</t>
  </si>
  <si>
    <t>Fighter Jets (13*11cm)</t>
  </si>
  <si>
    <t>Pull Back Planes (9*7cm)</t>
  </si>
  <si>
    <t>6cm Magic Cubes</t>
  </si>
  <si>
    <t>Water Games (10*4.5cm)</t>
  </si>
  <si>
    <t>Water Guns (19*11cm)</t>
  </si>
  <si>
    <t>Rainbow Springs (6*6.5cm)</t>
  </si>
  <si>
    <t>Nokia Water Game (11cm)</t>
  </si>
  <si>
    <t>Purses (12*8cm)</t>
  </si>
  <si>
    <t>Retro Camera A (7.5*5cm)</t>
  </si>
  <si>
    <t>Retro Camera B (7.5*5cm)</t>
  </si>
  <si>
    <t>Sports Stress Balls (63mm)</t>
  </si>
  <si>
    <t>Painted Sports Balls (4cm)</t>
  </si>
  <si>
    <t>with keychains, 100/bag</t>
  </si>
  <si>
    <t>Finger Biting Dinos (6.5cm)</t>
  </si>
  <si>
    <t>Little Glitter Ducks (4.5cm)</t>
  </si>
  <si>
    <t>Rock-Scissors-Paper Game</t>
  </si>
  <si>
    <t>Metal Sports Cars (6.8cm)</t>
  </si>
  <si>
    <t>Spaceman Spinners (10cm)</t>
  </si>
  <si>
    <t>Pullback Sports Cars(8.5cm)</t>
  </si>
  <si>
    <t>Fidget Slugs (8cm)</t>
  </si>
  <si>
    <t>Painted Ducks (5-7cm)</t>
  </si>
  <si>
    <t>Squeaky Ducks (5.5*4.5cm)</t>
  </si>
  <si>
    <t>Transformable Dinos (10cm)</t>
  </si>
  <si>
    <t>Cameras (6.9*4.9cm)</t>
  </si>
  <si>
    <t>Water Games (8.5*3.7cm)</t>
  </si>
  <si>
    <t>Stretchy Pugs (7.5*4.5cm)</t>
  </si>
  <si>
    <r>
      <t>Bulk Toys (</t>
    </r>
    <r>
      <rPr>
        <b/>
        <sz val="10"/>
        <color rgb="FF0000FF"/>
        <rFont val="Arial"/>
        <family val="2"/>
      </rPr>
      <t>Pusher / Grabber Prizes</t>
    </r>
    <r>
      <rPr>
        <b/>
        <sz val="10"/>
        <color rgb="FFFF0000"/>
        <rFont val="Arial"/>
        <family val="2"/>
      </rPr>
      <t>)</t>
    </r>
  </si>
  <si>
    <t>Packing Details</t>
  </si>
  <si>
    <t>3000 (5bxs)</t>
  </si>
  <si>
    <t>Slow-Rise Ugly Monsters</t>
  </si>
  <si>
    <t>54*41*41cm, 11.75kg</t>
  </si>
  <si>
    <t>Bubble Pop Balls (6.5cm)</t>
  </si>
  <si>
    <r>
      <t>Plush Mix (</t>
    </r>
    <r>
      <rPr>
        <sz val="9"/>
        <color rgb="FF0000FF"/>
        <rFont val="Arial"/>
        <family val="2"/>
      </rPr>
      <t>219 boxes per 20ft container, 528 boxes per 40ft HC container</t>
    </r>
    <r>
      <rPr>
        <b/>
        <sz val="9"/>
        <color rgb="FFFF0000"/>
        <rFont val="Arial"/>
        <family val="2"/>
      </rPr>
      <t>)</t>
    </r>
  </si>
  <si>
    <r>
      <t>Packing (</t>
    </r>
    <r>
      <rPr>
        <b/>
        <sz val="10"/>
        <color rgb="FFFF0000"/>
        <rFont val="Arial"/>
        <family val="2"/>
      </rPr>
      <t>Capsuled in C63/C65</t>
    </r>
    <r>
      <rPr>
        <b/>
        <sz val="10"/>
        <color rgb="FF0000CC"/>
        <rFont val="Arial"/>
        <family val="2"/>
      </rPr>
      <t>):  100pcs/bag, 4bags(400pcs)/ctn/57*45*47cm,  240ctns/20'GP, 555ctns/40'HQ</t>
    </r>
  </si>
  <si>
    <r>
      <t>Packing (</t>
    </r>
    <r>
      <rPr>
        <b/>
        <sz val="10"/>
        <color rgb="FFFF0000"/>
        <rFont val="Arial"/>
        <family val="2"/>
      </rPr>
      <t>Capsuled in C35 or C32R</t>
    </r>
    <r>
      <rPr>
        <b/>
        <sz val="10"/>
        <color indexed="12"/>
        <rFont val="Arial"/>
        <family val="2"/>
      </rPr>
      <t>): 250pcs/bag, 8bags(2000pcs)/ctn/45*33*47cm,  425ctns/20'GP, 995ctns/40'HQ</t>
    </r>
  </si>
  <si>
    <r>
      <t>Packing (</t>
    </r>
    <r>
      <rPr>
        <b/>
        <sz val="10"/>
        <color rgb="FFFF0000"/>
        <rFont val="Arial"/>
        <family val="2"/>
      </rPr>
      <t>Capsuled in C35 or C32R</t>
    </r>
    <r>
      <rPr>
        <b/>
        <sz val="10"/>
        <color rgb="FF0000CC"/>
        <rFont val="Arial"/>
        <family val="2"/>
      </rPr>
      <t>): 250pcs/bag, 8bags(2000pcs)/ctn/45*33*47cm,  425ctns/20'GP, 995ctns/40'HQ</t>
    </r>
  </si>
  <si>
    <t>Animal Jumpers</t>
  </si>
  <si>
    <t>Size: 5*1.5cm</t>
  </si>
  <si>
    <t>C2303</t>
  </si>
  <si>
    <t>Sticky Animal Splatters</t>
  </si>
  <si>
    <t>Sticky Hammers &amp; Webs</t>
  </si>
  <si>
    <t>Size: 13*4cm/20*5cm</t>
  </si>
  <si>
    <t>C2305</t>
  </si>
  <si>
    <t>Size: 5.5x22cm</t>
  </si>
  <si>
    <t>Sticky Mix</t>
  </si>
  <si>
    <t>BC12
BC13</t>
  </si>
  <si>
    <t>Jungle Animal Balls
Galaxy Balls</t>
  </si>
  <si>
    <t>42x27x26     |    16</t>
  </si>
  <si>
    <t>42x27x25.5  |    20</t>
  </si>
  <si>
    <t>42x27x22     |    18</t>
  </si>
  <si>
    <t>42x27x25.5  |    18.4</t>
  </si>
  <si>
    <t>42x27x28     |    18.1</t>
  </si>
  <si>
    <t>42x27x25.5  |    22.1</t>
  </si>
  <si>
    <t>42x27x22     |    20</t>
  </si>
  <si>
    <t>42x27x25.5  |    22.5</t>
  </si>
  <si>
    <t>42x27x28     |    23.2</t>
  </si>
  <si>
    <t>42x27x26     |    20</t>
  </si>
  <si>
    <t>42x27x22     |    12.6</t>
  </si>
  <si>
    <t>42x27x25.5  |    14.4</t>
  </si>
  <si>
    <t>28/32mm Capsule Toys - Capsuled in C32R / C35 by Default, or Capsuled in C28 by Request</t>
  </si>
  <si>
    <t>32/35mm Capsule Toys - Capsuled in C35(30*35mm, hinged) / C32R(32mm, round) by Default</t>
  </si>
  <si>
    <r>
      <t>50/56mm Capsuled Toys - Capsuled in C48</t>
    </r>
    <r>
      <rPr>
        <b/>
        <sz val="10"/>
        <color indexed="10"/>
        <rFont val="Arial"/>
        <family val="2"/>
      </rPr>
      <t>/C50R/C56H by Default, or Capsuled in C50/C58 When Necessary</t>
    </r>
  </si>
  <si>
    <t>65/70mm Capsule Toys - Capsuled in C63/C65 by Default, or Capsuled in C65H/C68/C70 by Request or When Necessary.</t>
  </si>
  <si>
    <t>92mm Capsule Toys - Capsuled &amp; Wrapped in C92 (92mm, PP capsule) by Default, or Capsuled in C100 (100mm capsule) as Requested.</t>
  </si>
  <si>
    <t>83*43*43cm, 17.1kg</t>
  </si>
  <si>
    <t>Size: approx. 27mm</t>
  </si>
  <si>
    <t>Slow-Rise Duck Buddies</t>
  </si>
  <si>
    <t>Size: 55*45*60mm</t>
  </si>
  <si>
    <t>MIX92ST</t>
  </si>
  <si>
    <t>11 series</t>
  </si>
  <si>
    <t>92mm Toy Mix (Lucky Dip)</t>
  </si>
  <si>
    <t>Cartoon Wild Animals</t>
  </si>
  <si>
    <t>Fruit Duckling Keychains</t>
  </si>
  <si>
    <t>Drink Bottle Keychains</t>
  </si>
  <si>
    <t>Fuzzy Puppies</t>
  </si>
  <si>
    <t>Cartoon Farm Animals</t>
  </si>
  <si>
    <t>EN71, 10P</t>
  </si>
  <si>
    <t>Wild Animals</t>
  </si>
  <si>
    <t>Fuzzy Pets in Baskets</t>
  </si>
  <si>
    <t>Updated Date: 2026-1-5</t>
  </si>
  <si>
    <r>
      <t>Spiky Crawler Balls &amp; Pen Toppers (</t>
    </r>
    <r>
      <rPr>
        <sz val="9"/>
        <color rgb="FFFF0000"/>
        <rFont val="Calibri"/>
        <family val="2"/>
        <scheme val="minor"/>
      </rPr>
      <t>2 pcs per capsule</t>
    </r>
    <r>
      <rPr>
        <sz val="9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</si>
</sst>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\$#,##0.00_);[Red]\(\$#,##0.00\)"/>
    <numFmt numFmtId="165" formatCode="\$#,##0.000_);[Red]\(\$#,##0.000\)"/>
    <numFmt numFmtId="166" formatCode="\$#,##0.000_);\(\$#,##0.000\)"/>
    <numFmt numFmtId="167" formatCode="0.000"/>
    <numFmt numFmtId="168" formatCode="[$$-409]#,##0.000_ ;[Red]\-[$$-409]#,##0.000\ "/>
  </numFmts>
  <fonts count="71"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b/>
      <sz val="9"/>
      <color indexed="8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sz val="9"/>
      <color indexed="8"/>
      <name val="Arial"/>
      <family val="2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b/>
      <sz val="8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Verdana"/>
      <family val="2"/>
    </font>
    <font>
      <b/>
      <sz val="8"/>
      <color indexed="10"/>
      <name val="Verdana"/>
      <family val="2"/>
    </font>
    <font>
      <sz val="8"/>
      <color indexed="8"/>
      <name val="Arial"/>
      <family val="2"/>
    </font>
    <font>
      <sz val="12"/>
      <name val="宋体"/>
      <family val="3"/>
      <charset val="134"/>
    </font>
    <font>
      <b/>
      <sz val="10"/>
      <color indexed="10"/>
      <name val="Arial"/>
      <family val="2"/>
    </font>
    <font>
      <sz val="8"/>
      <color indexed="10"/>
      <name val="Arial"/>
      <family val="2"/>
    </font>
    <font>
      <sz val="9"/>
      <color indexed="10"/>
      <name val="Arial"/>
      <family val="2"/>
    </font>
    <font>
      <u/>
      <sz val="11"/>
      <color theme="10"/>
      <name val="宋体"/>
      <family val="3"/>
      <charset val="134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Bookman Old Style"/>
      <family val="1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FF0000"/>
      <name val="Arial"/>
      <family val="2"/>
    </font>
    <font>
      <sz val="8"/>
      <color theme="1"/>
      <name val="Arial"/>
      <family val="2"/>
    </font>
    <font>
      <sz val="9"/>
      <color rgb="FFFF0000"/>
      <name val="Arial"/>
      <family val="2"/>
    </font>
    <font>
      <sz val="9"/>
      <color rgb="FFFF0000"/>
      <name val="Arial Black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color rgb="FF0000FF"/>
      <name val="Arial"/>
      <family val="2"/>
    </font>
    <font>
      <sz val="8"/>
      <color rgb="FFFF0000"/>
      <name val="Arial Black"/>
      <family val="2"/>
    </font>
    <font>
      <b/>
      <sz val="8"/>
      <color rgb="FF0000FF"/>
      <name val="Verdana"/>
      <family val="2"/>
    </font>
    <font>
      <b/>
      <sz val="10"/>
      <color rgb="FFFF0000"/>
      <name val="Arial"/>
      <family val="2"/>
    </font>
    <font>
      <b/>
      <sz val="9"/>
      <color theme="1"/>
      <name val="Corbel"/>
      <family val="2"/>
    </font>
    <font>
      <sz val="10"/>
      <color theme="1"/>
      <name val="Verdana"/>
      <family val="2"/>
    </font>
    <font>
      <sz val="9"/>
      <color rgb="FF0000CC"/>
      <name val="Arial"/>
      <family val="2"/>
    </font>
    <font>
      <sz val="14"/>
      <color theme="0"/>
      <name val="Arial Black"/>
      <family val="2"/>
    </font>
    <font>
      <sz val="14"/>
      <color rgb="FF000099"/>
      <name val="Arial Black"/>
      <family val="2"/>
    </font>
    <font>
      <b/>
      <sz val="10"/>
      <color rgb="FF0000CC"/>
      <name val="Arial"/>
      <family val="2"/>
    </font>
    <font>
      <sz val="10"/>
      <color rgb="FF0000CC"/>
      <name val="Arial"/>
      <family val="2"/>
    </font>
    <font>
      <b/>
      <sz val="10"/>
      <color theme="1"/>
      <name val="Arial"/>
      <family val="2"/>
    </font>
    <font>
      <b/>
      <sz val="9"/>
      <color rgb="FF0000CC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Arial"/>
      <family val="2"/>
    </font>
    <font>
      <sz val="9"/>
      <color indexed="81"/>
      <name val="Arial"/>
      <family val="2"/>
    </font>
    <font>
      <sz val="9"/>
      <color theme="1"/>
      <name val="Tahoma"/>
      <family val="2"/>
    </font>
    <font>
      <u/>
      <sz val="11"/>
      <color theme="10"/>
      <name val="Tahoma"/>
      <family val="2"/>
    </font>
    <font>
      <sz val="10"/>
      <color theme="1"/>
      <name val="Book Antiqua"/>
      <family val="1"/>
    </font>
    <font>
      <sz val="9"/>
      <color indexed="81"/>
      <name val="宋体"/>
      <charset val="134"/>
    </font>
    <font>
      <b/>
      <sz val="10"/>
      <color indexed="81"/>
      <name val="Calibri"/>
      <family val="2"/>
      <scheme val="minor"/>
    </font>
    <font>
      <sz val="10"/>
      <color indexed="81"/>
      <name val="Calibri"/>
      <family val="2"/>
      <scheme val="minor"/>
    </font>
    <font>
      <b/>
      <sz val="8"/>
      <color rgb="FFFF0000"/>
      <name val="Arial"/>
      <family val="2"/>
    </font>
    <font>
      <sz val="11"/>
      <color theme="1"/>
      <name val="Tahoma"/>
      <family val="2"/>
    </font>
    <font>
      <sz val="9"/>
      <color rgb="FF0000FF"/>
      <name val="Calibri"/>
      <family val="2"/>
      <scheme val="minor"/>
    </font>
    <font>
      <b/>
      <sz val="9"/>
      <color indexed="81"/>
      <name val="Cambria"/>
      <family val="1"/>
      <scheme val="major"/>
    </font>
    <font>
      <sz val="9"/>
      <color indexed="81"/>
      <name val="Cambria"/>
      <family val="1"/>
      <scheme val="major"/>
    </font>
    <font>
      <sz val="9"/>
      <name val="Arial"/>
      <family val="2"/>
      <charset val="134"/>
    </font>
    <font>
      <b/>
      <sz val="9"/>
      <color rgb="FF0000FF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indexed="81"/>
      <name val="Cambria"/>
      <family val="1"/>
      <scheme val="major"/>
    </font>
    <font>
      <sz val="10"/>
      <color indexed="81"/>
      <name val="Cambria"/>
      <family val="1"/>
      <scheme val="major"/>
    </font>
    <font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8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FF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/>
      <bottom style="thin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/>
      <top style="thin">
        <color indexed="64"/>
      </top>
      <bottom style="medium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/>
      <top style="medium">
        <color rgb="FFC00000"/>
      </top>
      <bottom/>
      <diagonal/>
    </border>
    <border>
      <left/>
      <right style="thin">
        <color indexed="64"/>
      </right>
      <top style="medium">
        <color rgb="FFC00000"/>
      </top>
      <bottom/>
      <diagonal/>
    </border>
    <border>
      <left style="thin">
        <color indexed="64"/>
      </left>
      <right style="medium">
        <color indexed="64"/>
      </right>
      <top style="medium">
        <color rgb="FFC00000"/>
      </top>
      <bottom/>
      <diagonal/>
    </border>
    <border>
      <left style="medium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/>
      <top style="medium">
        <color rgb="FFC00000"/>
      </top>
      <bottom style="thin">
        <color indexed="64"/>
      </bottom>
      <diagonal/>
    </border>
    <border>
      <left/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C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C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7" fillId="0" borderId="0">
      <alignment vertical="center"/>
    </xf>
    <xf numFmtId="0" fontId="21" fillId="0" borderId="0" applyNumberFormat="0" applyFill="0" applyBorder="0" applyAlignment="0" applyProtection="0">
      <alignment vertical="top"/>
      <protection locked="0"/>
    </xf>
  </cellStyleXfs>
  <cellXfs count="352">
    <xf numFmtId="0" fontId="0" fillId="0" borderId="0" xfId="0">
      <alignment vertical="center"/>
    </xf>
    <xf numFmtId="0" fontId="22" fillId="0" borderId="0" xfId="0" applyFont="1">
      <alignment vertical="center"/>
    </xf>
    <xf numFmtId="0" fontId="22" fillId="0" borderId="1" xfId="0" applyFont="1" applyBorder="1">
      <alignment vertical="center"/>
    </xf>
    <xf numFmtId="0" fontId="22" fillId="0" borderId="2" xfId="0" applyFont="1" applyBorder="1">
      <alignment vertical="center"/>
    </xf>
    <xf numFmtId="0" fontId="22" fillId="0" borderId="0" xfId="0" applyFont="1" applyBorder="1">
      <alignment vertical="center"/>
    </xf>
    <xf numFmtId="0" fontId="22" fillId="0" borderId="3" xfId="0" applyFont="1" applyBorder="1">
      <alignment vertical="center"/>
    </xf>
    <xf numFmtId="0" fontId="23" fillId="0" borderId="0" xfId="0" applyFont="1">
      <alignment vertical="center"/>
    </xf>
    <xf numFmtId="0" fontId="23" fillId="0" borderId="4" xfId="0" applyFont="1" applyBorder="1">
      <alignment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5" fillId="2" borderId="7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3" fillId="0" borderId="13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3" fillId="0" borderId="14" xfId="0" applyFont="1" applyBorder="1">
      <alignment vertical="center"/>
    </xf>
    <xf numFmtId="0" fontId="24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3" fillId="0" borderId="46" xfId="0" applyFont="1" applyBorder="1">
      <alignment vertical="center"/>
    </xf>
    <xf numFmtId="0" fontId="24" fillId="0" borderId="4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4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5" fillId="0" borderId="21" xfId="0" applyFont="1" applyBorder="1">
      <alignment vertical="center"/>
    </xf>
    <xf numFmtId="0" fontId="2" fillId="0" borderId="21" xfId="0" applyFont="1" applyBorder="1" applyAlignment="1">
      <alignment horizontal="center" vertical="center"/>
    </xf>
    <xf numFmtId="0" fontId="5" fillId="0" borderId="48" xfId="0" applyFont="1" applyBorder="1">
      <alignment vertical="center"/>
    </xf>
    <xf numFmtId="0" fontId="2" fillId="0" borderId="48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>
      <alignment vertical="center"/>
    </xf>
    <xf numFmtId="0" fontId="2" fillId="0" borderId="5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165" fontId="22" fillId="0" borderId="0" xfId="0" applyNumberFormat="1" applyFont="1">
      <alignment vertical="center"/>
    </xf>
    <xf numFmtId="165" fontId="22" fillId="0" borderId="1" xfId="0" applyNumberFormat="1" applyFont="1" applyBorder="1">
      <alignment vertical="center"/>
    </xf>
    <xf numFmtId="165" fontId="22" fillId="0" borderId="0" xfId="0" applyNumberFormat="1" applyFont="1" applyBorder="1">
      <alignment vertical="center"/>
    </xf>
    <xf numFmtId="165" fontId="23" fillId="0" borderId="4" xfId="0" applyNumberFormat="1" applyFont="1" applyBorder="1" applyAlignment="1">
      <alignment horizontal="center" vertical="center"/>
    </xf>
    <xf numFmtId="165" fontId="23" fillId="0" borderId="46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horizontal="left" vertical="center"/>
    </xf>
    <xf numFmtId="165" fontId="24" fillId="0" borderId="5" xfId="0" applyNumberFormat="1" applyFont="1" applyBorder="1" applyAlignment="1">
      <alignment horizontal="center" vertical="center"/>
    </xf>
    <xf numFmtId="165" fontId="23" fillId="0" borderId="14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0" borderId="0" xfId="0" applyFont="1" applyBorder="1">
      <alignment vertical="center"/>
    </xf>
    <xf numFmtId="165" fontId="30" fillId="0" borderId="4" xfId="0" applyNumberFormat="1" applyFont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right" vertical="center"/>
    </xf>
    <xf numFmtId="0" fontId="27" fillId="0" borderId="14" xfId="0" applyFont="1" applyBorder="1" applyAlignment="1">
      <alignment horizontal="left" vertical="center"/>
    </xf>
    <xf numFmtId="0" fontId="27" fillId="0" borderId="46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5" fillId="2" borderId="7" xfId="0" applyFont="1" applyFill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0" fillId="0" borderId="4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3" fillId="2" borderId="7" xfId="0" applyFont="1" applyFill="1" applyBorder="1" applyAlignment="1">
      <alignment vertical="center"/>
    </xf>
    <xf numFmtId="0" fontId="33" fillId="2" borderId="7" xfId="0" applyFont="1" applyFill="1" applyBorder="1" applyAlignment="1">
      <alignment horizontal="left" vertical="center"/>
    </xf>
    <xf numFmtId="165" fontId="33" fillId="2" borderId="7" xfId="0" applyNumberFormat="1" applyFont="1" applyFill="1" applyBorder="1" applyAlignment="1">
      <alignment vertical="center"/>
    </xf>
    <xf numFmtId="0" fontId="33" fillId="2" borderId="8" xfId="0" applyFont="1" applyFill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165" fontId="10" fillId="0" borderId="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7" fillId="0" borderId="28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23" fillId="0" borderId="32" xfId="0" applyFont="1" applyBorder="1" applyAlignment="1">
      <alignment horizontal="left" vertical="center"/>
    </xf>
    <xf numFmtId="0" fontId="27" fillId="0" borderId="32" xfId="0" applyFont="1" applyBorder="1" applyAlignment="1">
      <alignment horizontal="left" vertical="center"/>
    </xf>
    <xf numFmtId="0" fontId="34" fillId="0" borderId="4" xfId="0" applyFont="1" applyBorder="1" applyAlignment="1">
      <alignment horizontal="left"/>
    </xf>
    <xf numFmtId="0" fontId="4" fillId="0" borderId="33" xfId="0" applyFont="1" applyBorder="1" applyAlignment="1">
      <alignment horizontal="left" vertical="center"/>
    </xf>
    <xf numFmtId="0" fontId="4" fillId="0" borderId="52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35" fillId="0" borderId="4" xfId="0" applyFont="1" applyBorder="1" applyAlignment="1">
      <alignment horizontal="left" vertical="center"/>
    </xf>
    <xf numFmtId="0" fontId="24" fillId="0" borderId="17" xfId="0" applyFont="1" applyBorder="1" applyAlignment="1">
      <alignment horizontal="left" vertical="center"/>
    </xf>
    <xf numFmtId="0" fontId="24" fillId="0" borderId="18" xfId="0" applyFont="1" applyBorder="1" applyAlignment="1">
      <alignment horizontal="left" vertical="center"/>
    </xf>
    <xf numFmtId="0" fontId="24" fillId="0" borderId="19" xfId="0" applyFont="1" applyBorder="1" applyAlignment="1">
      <alignment horizontal="center" vertical="center"/>
    </xf>
    <xf numFmtId="0" fontId="36" fillId="0" borderId="1" xfId="0" applyFont="1" applyFill="1" applyBorder="1" applyAlignment="1">
      <alignment horizontal="left" vertical="top"/>
    </xf>
    <xf numFmtId="0" fontId="36" fillId="0" borderId="2" xfId="0" applyFont="1" applyFill="1" applyBorder="1" applyAlignment="1">
      <alignment horizontal="left" vertical="top"/>
    </xf>
    <xf numFmtId="0" fontId="36" fillId="0" borderId="10" xfId="0" applyFont="1" applyFill="1" applyBorder="1" applyAlignment="1">
      <alignment horizontal="left" vertical="top"/>
    </xf>
    <xf numFmtId="0" fontId="36" fillId="0" borderId="0" xfId="0" applyFont="1" applyFill="1" applyBorder="1" applyAlignment="1">
      <alignment horizontal="left" vertical="top"/>
    </xf>
    <xf numFmtId="0" fontId="36" fillId="0" borderId="3" xfId="0" applyFont="1" applyFill="1" applyBorder="1" applyAlignment="1">
      <alignment horizontal="left" vertical="top"/>
    </xf>
    <xf numFmtId="0" fontId="37" fillId="0" borderId="0" xfId="0" applyFont="1" applyFill="1" applyBorder="1" applyAlignment="1">
      <alignment horizontal="left" vertical="top"/>
    </xf>
    <xf numFmtId="0" fontId="31" fillId="0" borderId="9" xfId="0" applyFont="1" applyFill="1" applyBorder="1" applyAlignment="1">
      <alignment horizontal="left" vertical="top"/>
    </xf>
    <xf numFmtId="165" fontId="23" fillId="3" borderId="4" xfId="0" applyNumberFormat="1" applyFont="1" applyFill="1" applyBorder="1" applyAlignment="1">
      <alignment horizontal="center" vertical="center"/>
    </xf>
    <xf numFmtId="0" fontId="39" fillId="0" borderId="4" xfId="0" applyFont="1" applyBorder="1">
      <alignment vertical="center"/>
    </xf>
    <xf numFmtId="0" fontId="16" fillId="0" borderId="4" xfId="0" applyFont="1" applyBorder="1" applyAlignment="1">
      <alignment horizontal="left" vertical="center"/>
    </xf>
    <xf numFmtId="165" fontId="23" fillId="3" borderId="16" xfId="0" applyNumberFormat="1" applyFont="1" applyFill="1" applyBorder="1" applyAlignment="1">
      <alignment horizontal="center" vertical="center"/>
    </xf>
    <xf numFmtId="0" fontId="30" fillId="3" borderId="13" xfId="0" applyFont="1" applyFill="1" applyBorder="1" applyAlignment="1">
      <alignment horizontal="center" vertical="center"/>
    </xf>
    <xf numFmtId="0" fontId="23" fillId="3" borderId="4" xfId="0" applyFont="1" applyFill="1" applyBorder="1">
      <alignment vertical="center"/>
    </xf>
    <xf numFmtId="0" fontId="27" fillId="3" borderId="4" xfId="0" applyFont="1" applyFill="1" applyBorder="1" applyAlignment="1">
      <alignment horizontal="left" vertical="center"/>
    </xf>
    <xf numFmtId="0" fontId="24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3" fillId="3" borderId="0" xfId="0" applyFont="1" applyFill="1">
      <alignment vertical="center"/>
    </xf>
    <xf numFmtId="0" fontId="23" fillId="3" borderId="14" xfId="0" applyFont="1" applyFill="1" applyBorder="1">
      <alignment vertical="center"/>
    </xf>
    <xf numFmtId="0" fontId="27" fillId="3" borderId="14" xfId="0" applyFont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46" xfId="0" applyFont="1" applyFill="1" applyBorder="1">
      <alignment vertical="center"/>
    </xf>
    <xf numFmtId="0" fontId="27" fillId="3" borderId="46" xfId="0" applyFont="1" applyFill="1" applyBorder="1" applyAlignment="1">
      <alignment horizontal="left" vertical="center"/>
    </xf>
    <xf numFmtId="165" fontId="23" fillId="3" borderId="46" xfId="0" applyNumberFormat="1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6" fillId="3" borderId="46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0" fillId="3" borderId="4" xfId="0" applyFont="1" applyFill="1" applyBorder="1" applyAlignment="1">
      <alignment horizontal="left" vertical="center"/>
    </xf>
    <xf numFmtId="165" fontId="30" fillId="3" borderId="4" xfId="0" applyNumberFormat="1" applyFont="1" applyFill="1" applyBorder="1" applyAlignment="1">
      <alignment horizontal="center" vertical="center"/>
    </xf>
    <xf numFmtId="0" fontId="27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6" fillId="3" borderId="44" xfId="0" applyFont="1" applyFill="1" applyBorder="1" applyAlignment="1">
      <alignment horizontal="center" vertical="center"/>
    </xf>
    <xf numFmtId="166" fontId="23" fillId="3" borderId="4" xfId="0" applyNumberFormat="1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40" fillId="0" borderId="0" xfId="0" applyFont="1">
      <alignment vertical="center"/>
    </xf>
    <xf numFmtId="0" fontId="23" fillId="3" borderId="44" xfId="0" applyFont="1" applyFill="1" applyBorder="1">
      <alignment vertical="center"/>
    </xf>
    <xf numFmtId="0" fontId="30" fillId="0" borderId="13" xfId="0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0" fontId="30" fillId="3" borderId="11" xfId="0" applyFont="1" applyFill="1" applyBorder="1" applyAlignment="1">
      <alignment horizontal="left" vertical="center"/>
    </xf>
    <xf numFmtId="165" fontId="24" fillId="0" borderId="18" xfId="0" applyNumberFormat="1" applyFont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41" fillId="0" borderId="4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4" fillId="2" borderId="7" xfId="0" applyFont="1" applyFill="1" applyBorder="1" applyAlignment="1">
      <alignment vertical="center"/>
    </xf>
    <xf numFmtId="0" fontId="24" fillId="2" borderId="7" xfId="0" applyFont="1" applyFill="1" applyBorder="1" applyAlignment="1">
      <alignment horizontal="left" vertical="center"/>
    </xf>
    <xf numFmtId="0" fontId="24" fillId="2" borderId="8" xfId="0" applyFont="1" applyFill="1" applyBorder="1" applyAlignment="1">
      <alignment vertical="center"/>
    </xf>
    <xf numFmtId="0" fontId="24" fillId="3" borderId="22" xfId="0" applyFont="1" applyFill="1" applyBorder="1" applyAlignment="1">
      <alignment horizontal="left" vertical="center"/>
    </xf>
    <xf numFmtId="0" fontId="24" fillId="3" borderId="7" xfId="0" applyFont="1" applyFill="1" applyBorder="1">
      <alignment vertical="center"/>
    </xf>
    <xf numFmtId="0" fontId="24" fillId="3" borderId="7" xfId="0" applyFont="1" applyFill="1" applyBorder="1" applyAlignment="1">
      <alignment horizontal="left" vertical="center"/>
    </xf>
    <xf numFmtId="0" fontId="24" fillId="3" borderId="25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0" fontId="46" fillId="3" borderId="31" xfId="0" applyFont="1" applyFill="1" applyBorder="1" applyAlignment="1">
      <alignment horizontal="left" vertical="center"/>
    </xf>
    <xf numFmtId="0" fontId="46" fillId="3" borderId="24" xfId="0" applyFont="1" applyFill="1" applyBorder="1">
      <alignment vertical="center"/>
    </xf>
    <xf numFmtId="0" fontId="46" fillId="3" borderId="24" xfId="0" applyFont="1" applyFill="1" applyBorder="1" applyAlignment="1">
      <alignment horizontal="left" vertical="center"/>
    </xf>
    <xf numFmtId="165" fontId="28" fillId="3" borderId="24" xfId="0" applyNumberFormat="1" applyFont="1" applyFill="1" applyBorder="1" applyAlignment="1">
      <alignment horizontal="center" vertical="center"/>
    </xf>
    <xf numFmtId="165" fontId="47" fillId="3" borderId="24" xfId="0" applyNumberFormat="1" applyFont="1" applyFill="1" applyBorder="1" applyAlignment="1">
      <alignment horizontal="center" vertical="center"/>
    </xf>
    <xf numFmtId="0" fontId="46" fillId="3" borderId="25" xfId="0" applyFont="1" applyFill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0" fontId="46" fillId="3" borderId="23" xfId="0" applyFont="1" applyFill="1" applyBorder="1" applyAlignment="1">
      <alignment horizontal="center" vertical="center"/>
    </xf>
    <xf numFmtId="0" fontId="38" fillId="2" borderId="22" xfId="0" applyFont="1" applyFill="1" applyBorder="1" applyAlignment="1">
      <alignment vertical="center"/>
    </xf>
    <xf numFmtId="0" fontId="38" fillId="2" borderId="22" xfId="0" applyFont="1" applyFill="1" applyBorder="1" applyAlignment="1">
      <alignment horizontal="left" vertical="center"/>
    </xf>
    <xf numFmtId="0" fontId="32" fillId="2" borderId="7" xfId="0" applyFont="1" applyFill="1" applyBorder="1" applyAlignment="1">
      <alignment vertical="center"/>
    </xf>
    <xf numFmtId="0" fontId="32" fillId="2" borderId="7" xfId="0" applyFont="1" applyFill="1" applyBorder="1" applyAlignment="1">
      <alignment horizontal="left" vertical="center"/>
    </xf>
    <xf numFmtId="165" fontId="32" fillId="2" borderId="7" xfId="0" applyNumberFormat="1" applyFont="1" applyFill="1" applyBorder="1" applyAlignment="1">
      <alignment vertical="center"/>
    </xf>
    <xf numFmtId="0" fontId="32" fillId="2" borderId="8" xfId="0" applyFont="1" applyFill="1" applyBorder="1" applyAlignment="1">
      <alignment vertical="center"/>
    </xf>
    <xf numFmtId="0" fontId="24" fillId="2" borderId="29" xfId="0" applyFont="1" applyFill="1" applyBorder="1" applyAlignment="1">
      <alignment horizontal="left" vertical="center"/>
    </xf>
    <xf numFmtId="0" fontId="24" fillId="2" borderId="30" xfId="0" applyFont="1" applyFill="1" applyBorder="1">
      <alignment vertical="center"/>
    </xf>
    <xf numFmtId="0" fontId="24" fillId="2" borderId="30" xfId="0" applyFont="1" applyFill="1" applyBorder="1" applyAlignment="1">
      <alignment horizontal="left" vertical="center"/>
    </xf>
    <xf numFmtId="0" fontId="24" fillId="2" borderId="26" xfId="0" applyFont="1" applyFill="1" applyBorder="1" applyAlignment="1">
      <alignment horizontal="center" vertical="center"/>
    </xf>
    <xf numFmtId="0" fontId="24" fillId="2" borderId="17" xfId="0" applyFont="1" applyFill="1" applyBorder="1" applyAlignment="1">
      <alignment horizontal="left" vertical="center"/>
    </xf>
    <xf numFmtId="0" fontId="24" fillId="2" borderId="18" xfId="0" applyFont="1" applyFill="1" applyBorder="1">
      <alignment vertical="center"/>
    </xf>
    <xf numFmtId="0" fontId="24" fillId="2" borderId="18" xfId="0" applyFont="1" applyFill="1" applyBorder="1" applyAlignment="1">
      <alignment horizontal="left" vertical="center"/>
    </xf>
    <xf numFmtId="0" fontId="51" fillId="2" borderId="27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8" fillId="0" borderId="28" xfId="0" applyFont="1" applyBorder="1" applyAlignment="1">
      <alignment horizontal="left" vertical="center"/>
    </xf>
    <xf numFmtId="0" fontId="28" fillId="0" borderId="11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6" fontId="10" fillId="3" borderId="4" xfId="0" applyNumberFormat="1" applyFont="1" applyFill="1" applyBorder="1" applyAlignment="1">
      <alignment horizontal="center" vertical="center"/>
    </xf>
    <xf numFmtId="0" fontId="54" fillId="3" borderId="4" xfId="0" applyFont="1" applyFill="1" applyBorder="1">
      <alignment vertical="center"/>
    </xf>
    <xf numFmtId="0" fontId="24" fillId="2" borderId="26" xfId="0" applyFont="1" applyFill="1" applyBorder="1" applyAlignment="1">
      <alignment horizontal="center" vertical="center"/>
    </xf>
    <xf numFmtId="0" fontId="50" fillId="3" borderId="24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167" fontId="27" fillId="0" borderId="4" xfId="0" applyNumberFormat="1" applyFont="1" applyBorder="1" applyAlignment="1">
      <alignment horizontal="left" vertical="center"/>
    </xf>
    <xf numFmtId="0" fontId="41" fillId="3" borderId="13" xfId="0" applyFont="1" applyFill="1" applyBorder="1" applyAlignment="1">
      <alignment horizontal="center" vertical="center"/>
    </xf>
    <xf numFmtId="165" fontId="23" fillId="3" borderId="44" xfId="0" applyNumberFormat="1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10" fillId="0" borderId="11" xfId="0" applyFont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23" fillId="0" borderId="64" xfId="0" applyFont="1" applyBorder="1">
      <alignment vertical="center"/>
    </xf>
    <xf numFmtId="0" fontId="27" fillId="0" borderId="65" xfId="0" applyFont="1" applyBorder="1" applyAlignment="1">
      <alignment horizontal="left" vertical="center"/>
    </xf>
    <xf numFmtId="0" fontId="27" fillId="0" borderId="66" xfId="0" applyFont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165" fontId="23" fillId="3" borderId="14" xfId="0" applyNumberFormat="1" applyFont="1" applyFill="1" applyBorder="1" applyAlignment="1">
      <alignment horizontal="center" vertical="center"/>
    </xf>
    <xf numFmtId="0" fontId="30" fillId="0" borderId="4" xfId="0" applyFont="1" applyBorder="1">
      <alignment vertical="center"/>
    </xf>
    <xf numFmtId="0" fontId="30" fillId="0" borderId="4" xfId="0" applyFont="1" applyBorder="1" applyAlignment="1">
      <alignment horizontal="left"/>
    </xf>
    <xf numFmtId="0" fontId="10" fillId="3" borderId="20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4" xfId="0" applyFont="1" applyFill="1" applyBorder="1">
      <alignment vertical="center"/>
    </xf>
    <xf numFmtId="0" fontId="10" fillId="3" borderId="45" xfId="0" applyFont="1" applyFill="1" applyBorder="1" applyAlignment="1">
      <alignment horizontal="left" vertical="center"/>
    </xf>
    <xf numFmtId="0" fontId="10" fillId="3" borderId="4" xfId="0" applyFont="1" applyFill="1" applyBorder="1">
      <alignment vertical="center"/>
    </xf>
    <xf numFmtId="0" fontId="2" fillId="0" borderId="14" xfId="0" applyFont="1" applyBorder="1" applyAlignment="1">
      <alignment horizontal="center" vertical="center"/>
    </xf>
    <xf numFmtId="16" fontId="26" fillId="0" borderId="4" xfId="0" applyNumberFormat="1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/>
    </xf>
    <xf numFmtId="0" fontId="23" fillId="0" borderId="42" xfId="0" applyFont="1" applyBorder="1" applyAlignment="1">
      <alignment horizontal="left" vertical="center"/>
    </xf>
    <xf numFmtId="0" fontId="23" fillId="0" borderId="36" xfId="0" applyFont="1" applyBorder="1">
      <alignment vertical="center"/>
    </xf>
    <xf numFmtId="0" fontId="27" fillId="0" borderId="36" xfId="0" applyFont="1" applyBorder="1" applyAlignment="1">
      <alignment horizontal="left" vertical="center"/>
    </xf>
    <xf numFmtId="165" fontId="23" fillId="0" borderId="36" xfId="0" applyNumberFormat="1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47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23" fillId="0" borderId="68" xfId="0" applyFont="1" applyBorder="1">
      <alignment vertical="center"/>
    </xf>
    <xf numFmtId="0" fontId="27" fillId="0" borderId="69" xfId="0" applyFont="1" applyBorder="1" applyAlignment="1">
      <alignment horizontal="left" vertical="center"/>
    </xf>
    <xf numFmtId="0" fontId="27" fillId="0" borderId="70" xfId="0" applyFont="1" applyBorder="1" applyAlignment="1">
      <alignment horizontal="left" vertical="center"/>
    </xf>
    <xf numFmtId="164" fontId="23" fillId="0" borderId="69" xfId="0" applyNumberFormat="1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9" fillId="0" borderId="71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41" fillId="3" borderId="4" xfId="0" applyFont="1" applyFill="1" applyBorder="1" applyAlignment="1">
      <alignment horizontal="left" vertical="center"/>
    </xf>
    <xf numFmtId="0" fontId="28" fillId="0" borderId="67" xfId="0" applyFont="1" applyBorder="1" applyAlignment="1">
      <alignment horizontal="left" vertical="center"/>
    </xf>
    <xf numFmtId="0" fontId="23" fillId="0" borderId="72" xfId="0" applyFont="1" applyBorder="1" applyAlignment="1">
      <alignment horizontal="left" vertical="center"/>
    </xf>
    <xf numFmtId="0" fontId="23" fillId="0" borderId="73" xfId="0" applyFont="1" applyBorder="1">
      <alignment vertical="center"/>
    </xf>
    <xf numFmtId="0" fontId="27" fillId="0" borderId="74" xfId="0" applyFont="1" applyBorder="1" applyAlignment="1">
      <alignment horizontal="left" vertical="center"/>
    </xf>
    <xf numFmtId="0" fontId="27" fillId="0" borderId="75" xfId="0" applyFont="1" applyBorder="1" applyAlignment="1">
      <alignment horizontal="left" vertical="center"/>
    </xf>
    <xf numFmtId="0" fontId="24" fillId="0" borderId="73" xfId="0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26" fillId="3" borderId="4" xfId="0" applyNumberFormat="1" applyFont="1" applyFill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46" fillId="3" borderId="24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27" fillId="0" borderId="40" xfId="0" applyFont="1" applyBorder="1" applyAlignment="1">
      <alignment horizontal="left" vertical="center"/>
    </xf>
    <xf numFmtId="0" fontId="27" fillId="0" borderId="33" xfId="0" applyFont="1" applyBorder="1" applyAlignment="1">
      <alignment horizontal="left" vertical="center"/>
    </xf>
    <xf numFmtId="0" fontId="29" fillId="0" borderId="15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23" fillId="3" borderId="16" xfId="0" applyFont="1" applyFill="1" applyBorder="1">
      <alignment vertical="center"/>
    </xf>
    <xf numFmtId="0" fontId="27" fillId="3" borderId="16" xfId="0" applyFont="1" applyFill="1" applyBorder="1" applyAlignment="1">
      <alignment horizontal="left" vertical="center"/>
    </xf>
    <xf numFmtId="166" fontId="23" fillId="3" borderId="16" xfId="0" applyNumberFormat="1" applyFont="1" applyFill="1" applyBorder="1" applyAlignment="1">
      <alignment horizontal="center" vertical="center"/>
    </xf>
    <xf numFmtId="0" fontId="26" fillId="3" borderId="16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61" fillId="0" borderId="0" xfId="0" applyFont="1">
      <alignment vertical="center"/>
    </xf>
    <xf numFmtId="0" fontId="62" fillId="0" borderId="4" xfId="0" applyFont="1" applyBorder="1" applyAlignment="1">
      <alignment horizontal="left" vertical="center"/>
    </xf>
    <xf numFmtId="0" fontId="41" fillId="3" borderId="15" xfId="0" applyFont="1" applyFill="1" applyBorder="1" applyAlignment="1">
      <alignment horizontal="center" vertical="center"/>
    </xf>
    <xf numFmtId="0" fontId="23" fillId="0" borderId="16" xfId="0" applyFont="1" applyBorder="1">
      <alignment vertical="center"/>
    </xf>
    <xf numFmtId="0" fontId="27" fillId="0" borderId="16" xfId="0" applyFont="1" applyBorder="1" applyAlignment="1">
      <alignment horizontal="left" vertical="center"/>
    </xf>
    <xf numFmtId="165" fontId="23" fillId="0" borderId="16" xfId="0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24" fillId="3" borderId="80" xfId="0" applyFont="1" applyFill="1" applyBorder="1" applyAlignment="1">
      <alignment horizontal="center" vertical="center"/>
    </xf>
    <xf numFmtId="0" fontId="26" fillId="3" borderId="16" xfId="0" applyNumberFormat="1" applyFont="1" applyFill="1" applyBorder="1" applyAlignment="1">
      <alignment horizontal="center" vertical="center"/>
    </xf>
    <xf numFmtId="0" fontId="10" fillId="0" borderId="79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65" fillId="0" borderId="79" xfId="0" applyFont="1" applyBorder="1" applyAlignment="1">
      <alignment horizontal="left" vertical="center"/>
    </xf>
    <xf numFmtId="0" fontId="65" fillId="0" borderId="11" xfId="0" applyFont="1" applyBorder="1" applyAlignment="1">
      <alignment horizontal="left" vertical="center"/>
    </xf>
    <xf numFmtId="0" fontId="65" fillId="0" borderId="11" xfId="0" applyFont="1" applyFill="1" applyBorder="1" applyAlignment="1">
      <alignment horizontal="left" vertical="center"/>
    </xf>
    <xf numFmtId="0" fontId="65" fillId="0" borderId="20" xfId="0" applyFont="1" applyBorder="1" applyAlignment="1">
      <alignment horizontal="left" vertical="center"/>
    </xf>
    <xf numFmtId="0" fontId="65" fillId="0" borderId="45" xfId="0" applyFont="1" applyBorder="1" applyAlignment="1">
      <alignment horizontal="left" vertical="center"/>
    </xf>
    <xf numFmtId="0" fontId="10" fillId="3" borderId="79" xfId="0" applyFont="1" applyFill="1" applyBorder="1" applyAlignment="1">
      <alignment horizontal="left" vertical="center"/>
    </xf>
    <xf numFmtId="0" fontId="10" fillId="0" borderId="45" xfId="0" applyFont="1" applyFill="1" applyBorder="1" applyAlignment="1">
      <alignment horizontal="left" vertical="center"/>
    </xf>
    <xf numFmtId="0" fontId="30" fillId="0" borderId="16" xfId="0" applyFont="1" applyBorder="1" applyAlignment="1">
      <alignment horizontal="left" vertical="center"/>
    </xf>
    <xf numFmtId="0" fontId="41" fillId="0" borderId="16" xfId="0" applyFont="1" applyBorder="1" applyAlignment="1">
      <alignment horizontal="left" vertical="center"/>
    </xf>
    <xf numFmtId="0" fontId="10" fillId="3" borderId="43" xfId="0" applyFont="1" applyFill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77" xfId="0" applyFont="1" applyBorder="1" applyAlignment="1">
      <alignment horizontal="left" vertical="center"/>
    </xf>
    <xf numFmtId="168" fontId="23" fillId="3" borderId="4" xfId="0" applyNumberFormat="1" applyFont="1" applyFill="1" applyBorder="1" applyAlignment="1">
      <alignment horizontal="center" vertical="center"/>
    </xf>
    <xf numFmtId="168" fontId="23" fillId="3" borderId="44" xfId="0" applyNumberFormat="1" applyFont="1" applyFill="1" applyBorder="1" applyAlignment="1">
      <alignment horizontal="center" vertical="center"/>
    </xf>
    <xf numFmtId="168" fontId="23" fillId="3" borderId="46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164" fontId="23" fillId="0" borderId="28" xfId="0" applyNumberFormat="1" applyFont="1" applyBorder="1" applyAlignment="1">
      <alignment horizontal="center" vertical="center"/>
    </xf>
    <xf numFmtId="164" fontId="23" fillId="0" borderId="74" xfId="0" applyNumberFormat="1" applyFont="1" applyBorder="1" applyAlignment="1">
      <alignment horizontal="center" vertical="center"/>
    </xf>
    <xf numFmtId="164" fontId="23" fillId="0" borderId="65" xfId="0" applyNumberFormat="1" applyFont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0" fontId="66" fillId="0" borderId="4" xfId="0" applyFont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66" fillId="0" borderId="73" xfId="0" applyFont="1" applyBorder="1" applyAlignment="1">
      <alignment horizontal="center" vertical="center"/>
    </xf>
    <xf numFmtId="0" fontId="24" fillId="2" borderId="19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left" vertical="center"/>
    </xf>
    <xf numFmtId="0" fontId="24" fillId="3" borderId="24" xfId="0" applyFont="1" applyFill="1" applyBorder="1">
      <alignment vertical="center"/>
    </xf>
    <xf numFmtId="0" fontId="24" fillId="3" borderId="24" xfId="0" applyFont="1" applyFill="1" applyBorder="1" applyAlignment="1">
      <alignment horizontal="center" vertical="center"/>
    </xf>
    <xf numFmtId="164" fontId="23" fillId="0" borderId="4" xfId="0" applyNumberFormat="1" applyFont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24" fillId="3" borderId="82" xfId="0" applyFont="1" applyFill="1" applyBorder="1" applyAlignment="1">
      <alignment horizontal="left" vertical="center"/>
    </xf>
    <xf numFmtId="0" fontId="24" fillId="3" borderId="25" xfId="0" applyFont="1" applyFill="1" applyBorder="1" applyAlignment="1">
      <alignment horizontal="left" vertical="center"/>
    </xf>
    <xf numFmtId="164" fontId="23" fillId="0" borderId="64" xfId="0" applyNumberFormat="1" applyFont="1" applyBorder="1" applyAlignment="1">
      <alignment horizontal="center" vertical="center"/>
    </xf>
    <xf numFmtId="164" fontId="23" fillId="0" borderId="73" xfId="0" applyNumberFormat="1" applyFont="1" applyBorder="1" applyAlignment="1">
      <alignment horizontal="center" vertical="center"/>
    </xf>
    <xf numFmtId="164" fontId="23" fillId="0" borderId="68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left" vertical="center"/>
    </xf>
    <xf numFmtId="0" fontId="27" fillId="0" borderId="83" xfId="0" applyFont="1" applyBorder="1" applyAlignment="1">
      <alignment horizontal="left" vertical="center"/>
    </xf>
    <xf numFmtId="0" fontId="66" fillId="0" borderId="32" xfId="0" applyFont="1" applyBorder="1" applyAlignment="1">
      <alignment horizontal="center" vertical="center"/>
    </xf>
    <xf numFmtId="0" fontId="66" fillId="0" borderId="33" xfId="0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165" fontId="5" fillId="0" borderId="28" xfId="0" applyNumberFormat="1" applyFont="1" applyBorder="1" applyAlignment="1">
      <alignment horizontal="centerContinuous" vertical="center"/>
    </xf>
    <xf numFmtId="165" fontId="5" fillId="0" borderId="32" xfId="0" applyNumberFormat="1" applyFont="1" applyBorder="1" applyAlignment="1">
      <alignment horizontal="centerContinuous" vertical="center"/>
    </xf>
    <xf numFmtId="165" fontId="5" fillId="0" borderId="58" xfId="0" applyNumberFormat="1" applyFont="1" applyBorder="1" applyAlignment="1">
      <alignment horizontal="centerContinuous" vertical="center"/>
    </xf>
    <xf numFmtId="165" fontId="5" fillId="0" borderId="59" xfId="0" applyNumberFormat="1" applyFont="1" applyBorder="1" applyAlignment="1">
      <alignment horizontal="centerContinuous" vertical="center"/>
    </xf>
    <xf numFmtId="165" fontId="5" fillId="0" borderId="57" xfId="0" applyNumberFormat="1" applyFont="1" applyBorder="1" applyAlignment="1">
      <alignment horizontal="centerContinuous" vertical="center"/>
    </xf>
    <xf numFmtId="165" fontId="5" fillId="0" borderId="54" xfId="0" applyNumberFormat="1" applyFont="1" applyBorder="1" applyAlignment="1">
      <alignment horizontal="centerContinuous" vertical="center"/>
    </xf>
    <xf numFmtId="165" fontId="5" fillId="0" borderId="40" xfId="0" applyNumberFormat="1" applyFont="1" applyBorder="1" applyAlignment="1">
      <alignment horizontal="centerContinuous" vertical="center"/>
    </xf>
    <xf numFmtId="165" fontId="5" fillId="0" borderId="33" xfId="0" applyNumberFormat="1" applyFont="1" applyBorder="1" applyAlignment="1">
      <alignment horizontal="centerContinuous" vertical="center"/>
    </xf>
    <xf numFmtId="0" fontId="5" fillId="0" borderId="55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/>
    </xf>
    <xf numFmtId="0" fontId="5" fillId="0" borderId="61" xfId="0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0" fontId="5" fillId="0" borderId="60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4" fillId="0" borderId="63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/>
    </xf>
    <xf numFmtId="0" fontId="44" fillId="4" borderId="12" xfId="0" applyFont="1" applyFill="1" applyBorder="1" applyAlignment="1">
      <alignment horizontal="left" vertical="center"/>
    </xf>
    <xf numFmtId="0" fontId="45" fillId="4" borderId="5" xfId="0" applyFont="1" applyFill="1" applyBorder="1" applyAlignment="1">
      <alignment horizontal="left" vertical="center"/>
    </xf>
    <xf numFmtId="0" fontId="45" fillId="4" borderId="6" xfId="0" applyFont="1" applyFill="1" applyBorder="1" applyAlignment="1">
      <alignment horizontal="left" vertical="center"/>
    </xf>
    <xf numFmtId="166" fontId="5" fillId="0" borderId="28" xfId="0" applyNumberFormat="1" applyFont="1" applyBorder="1" applyAlignment="1">
      <alignment horizontal="center" vertical="center"/>
    </xf>
    <xf numFmtId="166" fontId="5" fillId="0" borderId="32" xfId="0" applyNumberFormat="1" applyFont="1" applyBorder="1" applyAlignment="1">
      <alignment horizontal="center" vertical="center"/>
    </xf>
    <xf numFmtId="165" fontId="24" fillId="2" borderId="41" xfId="0" applyNumberFormat="1" applyFont="1" applyFill="1" applyBorder="1" applyAlignment="1">
      <alignment horizontal="center" vertical="center"/>
    </xf>
    <xf numFmtId="165" fontId="24" fillId="2" borderId="26" xfId="0" applyNumberFormat="1" applyFont="1" applyFill="1" applyBorder="1" applyAlignment="1">
      <alignment horizontal="center" vertical="center"/>
    </xf>
    <xf numFmtId="0" fontId="5" fillId="0" borderId="20" xfId="0" applyFont="1" applyBorder="1" applyAlignment="1">
      <alignment horizontal="left" vertical="center"/>
    </xf>
    <xf numFmtId="0" fontId="24" fillId="2" borderId="18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left" vertical="center"/>
    </xf>
    <xf numFmtId="0" fontId="44" fillId="4" borderId="6" xfId="0" applyFont="1" applyFill="1" applyBorder="1" applyAlignment="1">
      <alignment horizontal="left" vertical="center"/>
    </xf>
    <xf numFmtId="0" fontId="24" fillId="2" borderId="41" xfId="0" applyFont="1" applyFill="1" applyBorder="1" applyAlignment="1">
      <alignment horizontal="center" vertical="center"/>
    </xf>
    <xf numFmtId="0" fontId="24" fillId="2" borderId="2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0" fontId="55" fillId="0" borderId="10" xfId="2" applyFont="1" applyBorder="1" applyAlignment="1" applyProtection="1">
      <alignment horizontal="center" vertical="center"/>
    </xf>
    <xf numFmtId="0" fontId="55" fillId="0" borderId="0" xfId="2" applyFont="1" applyBorder="1" applyAlignment="1" applyProtection="1">
      <alignment horizontal="center" vertical="center"/>
    </xf>
    <xf numFmtId="0" fontId="55" fillId="0" borderId="3" xfId="2" applyFont="1" applyBorder="1" applyAlignment="1" applyProtection="1">
      <alignment horizontal="center" vertical="center"/>
    </xf>
    <xf numFmtId="0" fontId="42" fillId="5" borderId="9" xfId="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/>
    </xf>
    <xf numFmtId="0" fontId="43" fillId="5" borderId="2" xfId="0" applyFont="1" applyFill="1" applyBorder="1" applyAlignment="1">
      <alignment horizontal="center" vertical="center"/>
    </xf>
    <xf numFmtId="0" fontId="43" fillId="5" borderId="42" xfId="0" applyFont="1" applyFill="1" applyBorder="1" applyAlignment="1">
      <alignment horizontal="center" vertical="center"/>
    </xf>
    <xf numFmtId="0" fontId="43" fillId="5" borderId="36" xfId="0" applyFont="1" applyFill="1" applyBorder="1" applyAlignment="1">
      <alignment horizontal="center" vertical="center"/>
    </xf>
    <xf numFmtId="0" fontId="43" fillId="5" borderId="38" xfId="0" applyFont="1" applyFill="1" applyBorder="1" applyAlignment="1">
      <alignment horizontal="center" vertical="center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9" defaultPivotStyle="PivotStyleLight16"/>
  <colors>
    <mruColors>
      <color rgb="FF0000FF"/>
      <color rgb="FF0000CC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555170</xdr:colOff>
      <xdr:row>1</xdr:row>
      <xdr:rowOff>47625</xdr:rowOff>
    </xdr:from>
    <xdr:to>
      <xdr:col>10</xdr:col>
      <xdr:colOff>160835</xdr:colOff>
      <xdr:row>6</xdr:row>
      <xdr:rowOff>142875</xdr:rowOff>
    </xdr:to>
    <xdr:pic>
      <xdr:nvPicPr>
        <xdr:cNvPr id="1704" name="图片 2" descr="panda_header.gif">
          <a:extLst>
            <a:ext uri="{FF2B5EF4-FFF2-40B4-BE49-F238E27FC236}">
              <a16:creationId xmlns=""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970" y="222885"/>
          <a:ext cx="64103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hinacapsuletoys.com/" TargetMode="External"/><Relationship Id="rId1" Type="http://schemas.openxmlformats.org/officeDocument/2006/relationships/hyperlink" Target="http://www.pandavending.com/Supplies.asp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B1:K671"/>
  <sheetViews>
    <sheetView showGridLines="0" tabSelected="1" zoomScaleNormal="100" zoomScaleSheetLayoutView="100" workbookViewId="0">
      <selection activeCell="K673" sqref="K673"/>
    </sheetView>
  </sheetViews>
  <sheetFormatPr defaultColWidth="9.109375" defaultRowHeight="13.2"/>
  <cols>
    <col min="1" max="1" width="2.6640625" style="1" customWidth="1"/>
    <col min="2" max="2" width="7.33203125" style="13" customWidth="1"/>
    <col min="3" max="3" width="21.33203125" style="1" customWidth="1"/>
    <col min="4" max="4" width="17.88671875" style="13" customWidth="1"/>
    <col min="5" max="5" width="9.6640625" style="13" customWidth="1"/>
    <col min="6" max="6" width="11.33203125" style="47" customWidth="1"/>
    <col min="7" max="7" width="9.33203125" style="47" customWidth="1"/>
    <col min="8" max="8" width="9.33203125" style="1" customWidth="1"/>
    <col min="9" max="9" width="9.6640625" style="6" customWidth="1"/>
    <col min="10" max="10" width="10.6640625" style="1" customWidth="1"/>
    <col min="11" max="11" width="17.33203125" style="1" customWidth="1"/>
    <col min="12" max="16384" width="9.109375" style="1"/>
  </cols>
  <sheetData>
    <row r="1" spans="2:11" ht="13.8" thickBot="1"/>
    <row r="2" spans="2:11" ht="12" customHeight="1">
      <c r="B2" s="14"/>
      <c r="C2" s="2"/>
      <c r="D2" s="64"/>
      <c r="E2" s="64"/>
      <c r="F2" s="48"/>
      <c r="G2" s="48"/>
      <c r="H2" s="2"/>
      <c r="I2" s="57"/>
      <c r="J2" s="2"/>
      <c r="K2" s="3"/>
    </row>
    <row r="3" spans="2:11" ht="12" customHeight="1">
      <c r="B3" s="15"/>
      <c r="C3" s="4"/>
      <c r="D3" s="65"/>
      <c r="E3" s="65"/>
      <c r="F3" s="49"/>
      <c r="G3" s="49"/>
      <c r="H3" s="4"/>
      <c r="I3" s="58"/>
      <c r="J3" s="4"/>
      <c r="K3" s="5"/>
    </row>
    <row r="4" spans="2:11" ht="12" customHeight="1">
      <c r="B4" s="15"/>
      <c r="C4" s="4"/>
      <c r="D4" s="65"/>
      <c r="E4" s="65"/>
      <c r="F4" s="49"/>
      <c r="G4" s="49"/>
      <c r="H4" s="4"/>
      <c r="I4" s="58"/>
      <c r="J4" s="4"/>
      <c r="K4" s="5"/>
    </row>
    <row r="5" spans="2:11" ht="12" customHeight="1">
      <c r="B5" s="15"/>
      <c r="C5" s="4"/>
      <c r="D5" s="65"/>
      <c r="E5" s="65"/>
      <c r="F5" s="49"/>
      <c r="G5" s="49"/>
      <c r="H5" s="4"/>
      <c r="I5" s="58"/>
      <c r="J5" s="4"/>
      <c r="K5" s="5"/>
    </row>
    <row r="6" spans="2:11" ht="12" customHeight="1">
      <c r="B6" s="15"/>
      <c r="C6" s="4"/>
      <c r="D6" s="65"/>
      <c r="E6" s="65"/>
      <c r="F6" s="49"/>
      <c r="G6" s="49"/>
      <c r="H6" s="4"/>
      <c r="I6" s="58"/>
      <c r="J6" s="4"/>
      <c r="K6" s="5"/>
    </row>
    <row r="7" spans="2:11" ht="12" customHeight="1">
      <c r="B7" s="15"/>
      <c r="C7" s="4"/>
      <c r="D7" s="65"/>
      <c r="E7" s="65"/>
      <c r="F7" s="49"/>
      <c r="G7" s="49"/>
      <c r="H7" s="4"/>
      <c r="I7" s="58"/>
      <c r="J7" s="4"/>
      <c r="K7" s="5"/>
    </row>
    <row r="8" spans="2:11" s="137" customFormat="1" ht="13.8">
      <c r="B8" s="340" t="s">
        <v>368</v>
      </c>
      <c r="C8" s="341"/>
      <c r="D8" s="341"/>
      <c r="E8" s="341"/>
      <c r="F8" s="341"/>
      <c r="G8" s="341"/>
      <c r="H8" s="341"/>
      <c r="I8" s="341"/>
      <c r="J8" s="341"/>
      <c r="K8" s="342"/>
    </row>
    <row r="9" spans="2:11" s="249" customFormat="1" ht="13.8">
      <c r="B9" s="343" t="s">
        <v>843</v>
      </c>
      <c r="C9" s="344"/>
      <c r="D9" s="344"/>
      <c r="E9" s="344"/>
      <c r="F9" s="344"/>
      <c r="G9" s="344"/>
      <c r="H9" s="344"/>
      <c r="I9" s="344"/>
      <c r="J9" s="344"/>
      <c r="K9" s="345"/>
    </row>
    <row r="10" spans="2:11" ht="12" customHeight="1" thickBot="1">
      <c r="B10" s="15"/>
      <c r="C10" s="4"/>
      <c r="D10" s="65"/>
      <c r="E10" s="65"/>
      <c r="F10" s="49"/>
      <c r="G10" s="49"/>
      <c r="H10" s="4"/>
      <c r="I10" s="58"/>
      <c r="J10" s="4"/>
      <c r="K10" s="61" t="s">
        <v>1306</v>
      </c>
    </row>
    <row r="11" spans="2:11" ht="12" customHeight="1">
      <c r="B11" s="346" t="s">
        <v>844</v>
      </c>
      <c r="C11" s="347"/>
      <c r="D11" s="347"/>
      <c r="E11" s="347"/>
      <c r="F11" s="347"/>
      <c r="G11" s="347"/>
      <c r="H11" s="347"/>
      <c r="I11" s="347"/>
      <c r="J11" s="347"/>
      <c r="K11" s="348"/>
    </row>
    <row r="12" spans="2:11" ht="12" customHeight="1" thickBot="1">
      <c r="B12" s="349"/>
      <c r="C12" s="350"/>
      <c r="D12" s="350"/>
      <c r="E12" s="350"/>
      <c r="F12" s="350"/>
      <c r="G12" s="350"/>
      <c r="H12" s="350"/>
      <c r="I12" s="350"/>
      <c r="J12" s="350"/>
      <c r="K12" s="351"/>
    </row>
    <row r="13" spans="2:11" ht="15">
      <c r="B13" s="105" t="s">
        <v>254</v>
      </c>
      <c r="C13" s="99"/>
      <c r="D13" s="99"/>
      <c r="E13" s="99"/>
      <c r="F13" s="99"/>
      <c r="G13" s="99"/>
      <c r="H13" s="99"/>
      <c r="I13" s="99"/>
      <c r="J13" s="99"/>
      <c r="K13" s="100"/>
    </row>
    <row r="14" spans="2:11">
      <c r="B14" s="101"/>
      <c r="C14" s="104" t="s">
        <v>255</v>
      </c>
      <c r="D14" s="102"/>
      <c r="E14" s="102"/>
      <c r="F14" s="102"/>
      <c r="G14" s="102"/>
      <c r="H14" s="102"/>
      <c r="I14" s="102"/>
      <c r="J14" s="102"/>
      <c r="K14" s="103"/>
    </row>
    <row r="15" spans="2:11">
      <c r="B15" s="101"/>
      <c r="C15" s="104" t="s">
        <v>256</v>
      </c>
      <c r="D15" s="102"/>
      <c r="E15" s="102"/>
      <c r="F15" s="102"/>
      <c r="G15" s="102"/>
      <c r="H15" s="102"/>
      <c r="I15" s="102"/>
      <c r="J15" s="102"/>
      <c r="K15" s="103"/>
    </row>
    <row r="16" spans="2:11">
      <c r="B16" s="101"/>
      <c r="C16" s="104" t="s">
        <v>455</v>
      </c>
      <c r="D16" s="102"/>
      <c r="E16" s="102"/>
      <c r="F16" s="102"/>
      <c r="G16" s="102"/>
      <c r="H16" s="102"/>
      <c r="I16" s="102"/>
      <c r="J16" s="102"/>
      <c r="K16" s="103"/>
    </row>
    <row r="17" spans="2:11">
      <c r="B17" s="101"/>
      <c r="C17" s="104" t="s">
        <v>315</v>
      </c>
      <c r="D17" s="102"/>
      <c r="E17" s="102"/>
      <c r="F17" s="102"/>
      <c r="G17" s="102"/>
      <c r="H17" s="102"/>
      <c r="I17" s="102"/>
      <c r="J17" s="102"/>
      <c r="K17" s="103"/>
    </row>
    <row r="18" spans="2:11" ht="13.8" thickBot="1">
      <c r="B18" s="101"/>
      <c r="C18" s="102"/>
      <c r="D18" s="102"/>
      <c r="E18" s="102"/>
      <c r="F18" s="102"/>
      <c r="G18" s="102"/>
      <c r="H18" s="102"/>
      <c r="I18" s="102"/>
      <c r="J18" s="102"/>
      <c r="K18" s="103"/>
    </row>
    <row r="19" spans="2:11" s="70" customFormat="1" ht="13.5" customHeight="1">
      <c r="B19" s="164" t="s">
        <v>1286</v>
      </c>
      <c r="C19" s="166"/>
      <c r="D19" s="167"/>
      <c r="E19" s="167"/>
      <c r="F19" s="168"/>
      <c r="G19" s="168"/>
      <c r="H19" s="166"/>
      <c r="I19" s="166"/>
      <c r="J19" s="166"/>
      <c r="K19" s="169"/>
    </row>
    <row r="20" spans="2:11" s="6" customFormat="1" ht="12.6" thickBot="1">
      <c r="B20" s="170" t="s">
        <v>200</v>
      </c>
      <c r="C20" s="171" t="s">
        <v>201</v>
      </c>
      <c r="D20" s="172" t="s">
        <v>202</v>
      </c>
      <c r="E20" s="172" t="s">
        <v>302</v>
      </c>
      <c r="F20" s="331" t="s">
        <v>203</v>
      </c>
      <c r="G20" s="332"/>
      <c r="H20" s="173" t="s">
        <v>204</v>
      </c>
      <c r="I20" s="337" t="s">
        <v>205</v>
      </c>
      <c r="J20" s="338"/>
      <c r="K20" s="155" t="s">
        <v>329</v>
      </c>
    </row>
    <row r="21" spans="2:11">
      <c r="B21" s="156"/>
      <c r="C21" s="157"/>
      <c r="D21" s="158"/>
      <c r="E21" s="158"/>
      <c r="F21" s="159" t="s">
        <v>361</v>
      </c>
      <c r="G21" s="160" t="s">
        <v>198</v>
      </c>
      <c r="H21" s="161" t="s">
        <v>206</v>
      </c>
      <c r="I21" s="162" t="s">
        <v>207</v>
      </c>
      <c r="J21" s="162" t="s">
        <v>208</v>
      </c>
      <c r="K21" s="163"/>
    </row>
    <row r="22" spans="2:11" s="6" customFormat="1" ht="12">
      <c r="B22" s="265" t="s">
        <v>944</v>
      </c>
      <c r="C22" s="252" t="s">
        <v>945</v>
      </c>
      <c r="D22" s="253" t="s">
        <v>946</v>
      </c>
      <c r="E22" s="253"/>
      <c r="F22" s="254">
        <v>5.8999999999999997E-2</v>
      </c>
      <c r="G22" s="50">
        <f t="shared" ref="G22:G49" si="0">F22-0.024</f>
        <v>3.4999999999999996E-2</v>
      </c>
      <c r="H22" s="8">
        <v>20000</v>
      </c>
      <c r="I22" s="19"/>
      <c r="J22" s="19">
        <v>5</v>
      </c>
      <c r="K22" s="18" t="s">
        <v>529</v>
      </c>
    </row>
    <row r="23" spans="2:11" s="6" customFormat="1" ht="12">
      <c r="B23" s="265" t="s">
        <v>935</v>
      </c>
      <c r="C23" s="252" t="s">
        <v>936</v>
      </c>
      <c r="D23" s="253" t="s">
        <v>938</v>
      </c>
      <c r="E23" s="253"/>
      <c r="F23" s="254">
        <v>5.2999999999999999E-2</v>
      </c>
      <c r="G23" s="50">
        <f t="shared" si="0"/>
        <v>2.8999999999999998E-2</v>
      </c>
      <c r="H23" s="264">
        <v>20000</v>
      </c>
      <c r="I23" s="256"/>
      <c r="J23" s="256" t="s">
        <v>107</v>
      </c>
      <c r="K23" s="18" t="s">
        <v>529</v>
      </c>
    </row>
    <row r="24" spans="2:11" s="6" customFormat="1" ht="12">
      <c r="B24" s="265" t="s">
        <v>934</v>
      </c>
      <c r="C24" s="252" t="s">
        <v>937</v>
      </c>
      <c r="D24" s="253" t="s">
        <v>939</v>
      </c>
      <c r="E24" s="253"/>
      <c r="F24" s="254">
        <v>5.0999999999999997E-2</v>
      </c>
      <c r="G24" s="50">
        <f t="shared" si="0"/>
        <v>2.6999999999999996E-2</v>
      </c>
      <c r="H24" s="264">
        <v>30000</v>
      </c>
      <c r="I24" s="256" t="s">
        <v>353</v>
      </c>
      <c r="J24" s="256"/>
      <c r="K24" s="18" t="s">
        <v>529</v>
      </c>
    </row>
    <row r="25" spans="2:11" s="6" customFormat="1" ht="12">
      <c r="B25" s="266" t="s">
        <v>408</v>
      </c>
      <c r="C25" s="7" t="s">
        <v>409</v>
      </c>
      <c r="D25" s="67"/>
      <c r="E25" s="67" t="s">
        <v>301</v>
      </c>
      <c r="F25" s="50">
        <v>6.0999999999999999E-2</v>
      </c>
      <c r="G25" s="50">
        <f t="shared" si="0"/>
        <v>3.6999999999999998E-2</v>
      </c>
      <c r="H25" s="8">
        <v>20000</v>
      </c>
      <c r="I25" s="19">
        <v>8</v>
      </c>
      <c r="J25" s="19"/>
      <c r="K25" s="18" t="s">
        <v>529</v>
      </c>
    </row>
    <row r="26" spans="2:11" s="6" customFormat="1" ht="12">
      <c r="B26" s="266" t="s">
        <v>94</v>
      </c>
      <c r="C26" s="7" t="s">
        <v>916</v>
      </c>
      <c r="D26" s="67"/>
      <c r="E26" s="67" t="s">
        <v>301</v>
      </c>
      <c r="F26" s="50">
        <v>7.8E-2</v>
      </c>
      <c r="G26" s="50">
        <f t="shared" si="0"/>
        <v>5.3999999999999999E-2</v>
      </c>
      <c r="H26" s="8">
        <v>10000</v>
      </c>
      <c r="I26" s="19">
        <v>5</v>
      </c>
      <c r="J26" s="19">
        <v>5</v>
      </c>
      <c r="K26" s="18" t="s">
        <v>529</v>
      </c>
    </row>
    <row r="27" spans="2:11" s="6" customFormat="1" ht="12">
      <c r="B27" s="266" t="s">
        <v>95</v>
      </c>
      <c r="C27" s="7" t="s">
        <v>257</v>
      </c>
      <c r="D27" s="67" t="s">
        <v>273</v>
      </c>
      <c r="E27" s="67" t="s">
        <v>301</v>
      </c>
      <c r="F27" s="50">
        <v>6.8000000000000005E-2</v>
      </c>
      <c r="G27" s="50">
        <f t="shared" si="0"/>
        <v>4.4000000000000004E-2</v>
      </c>
      <c r="H27" s="8">
        <v>20000</v>
      </c>
      <c r="I27" s="19"/>
      <c r="J27" s="19">
        <v>6</v>
      </c>
      <c r="K27" s="18" t="s">
        <v>529</v>
      </c>
    </row>
    <row r="28" spans="2:11" s="6" customFormat="1" ht="12">
      <c r="B28" s="266" t="s">
        <v>96</v>
      </c>
      <c r="C28" s="7" t="s">
        <v>97</v>
      </c>
      <c r="D28" s="67"/>
      <c r="E28" s="67" t="s">
        <v>301</v>
      </c>
      <c r="F28" s="50">
        <v>5.0999999999999997E-2</v>
      </c>
      <c r="G28" s="50">
        <f t="shared" si="0"/>
        <v>2.6999999999999996E-2</v>
      </c>
      <c r="H28" s="8">
        <v>20000</v>
      </c>
      <c r="I28" s="19">
        <v>6</v>
      </c>
      <c r="J28" s="19"/>
      <c r="K28" s="18" t="s">
        <v>529</v>
      </c>
    </row>
    <row r="29" spans="2:11" s="6" customFormat="1" ht="12">
      <c r="B29" s="266" t="s">
        <v>98</v>
      </c>
      <c r="C29" s="7" t="s">
        <v>917</v>
      </c>
      <c r="D29" s="67"/>
      <c r="E29" s="67"/>
      <c r="F29" s="50">
        <v>9.9000000000000005E-2</v>
      </c>
      <c r="G29" s="50">
        <f t="shared" si="0"/>
        <v>7.5000000000000011E-2</v>
      </c>
      <c r="H29" s="8">
        <v>10000</v>
      </c>
      <c r="I29" s="19">
        <v>12</v>
      </c>
      <c r="J29" s="19"/>
      <c r="K29" s="18" t="s">
        <v>529</v>
      </c>
    </row>
    <row r="30" spans="2:11" s="6" customFormat="1" ht="12">
      <c r="B30" s="266" t="s">
        <v>99</v>
      </c>
      <c r="C30" s="7" t="s">
        <v>277</v>
      </c>
      <c r="D30" s="67"/>
      <c r="E30" s="67"/>
      <c r="F30" s="50">
        <v>6.0999999999999999E-2</v>
      </c>
      <c r="G30" s="50">
        <f t="shared" si="0"/>
        <v>3.6999999999999998E-2</v>
      </c>
      <c r="H30" s="8">
        <v>10000</v>
      </c>
      <c r="I30" s="19" t="s">
        <v>107</v>
      </c>
      <c r="J30" s="19"/>
      <c r="K30" s="18" t="s">
        <v>529</v>
      </c>
    </row>
    <row r="31" spans="2:11" s="6" customFormat="1" ht="12">
      <c r="B31" s="266" t="s">
        <v>102</v>
      </c>
      <c r="C31" s="7" t="s">
        <v>918</v>
      </c>
      <c r="D31" s="67"/>
      <c r="E31" s="67" t="s">
        <v>301</v>
      </c>
      <c r="F31" s="50">
        <v>4.7E-2</v>
      </c>
      <c r="G31" s="50">
        <f t="shared" si="0"/>
        <v>2.3E-2</v>
      </c>
      <c r="H31" s="8">
        <v>20000</v>
      </c>
      <c r="I31" s="19">
        <v>6</v>
      </c>
      <c r="J31" s="19"/>
      <c r="K31" s="18" t="s">
        <v>529</v>
      </c>
    </row>
    <row r="32" spans="2:11" s="6" customFormat="1" ht="12">
      <c r="B32" s="266" t="s">
        <v>103</v>
      </c>
      <c r="C32" s="7" t="s">
        <v>919</v>
      </c>
      <c r="D32" s="67"/>
      <c r="E32" s="67"/>
      <c r="F32" s="50">
        <v>4.9000000000000002E-2</v>
      </c>
      <c r="G32" s="50">
        <f t="shared" si="0"/>
        <v>2.5000000000000001E-2</v>
      </c>
      <c r="H32" s="8">
        <v>20000</v>
      </c>
      <c r="I32" s="19">
        <v>6</v>
      </c>
      <c r="J32" s="19">
        <v>4</v>
      </c>
      <c r="K32" s="18" t="s">
        <v>529</v>
      </c>
    </row>
    <row r="33" spans="2:11" s="6" customFormat="1" ht="12">
      <c r="B33" s="267" t="s">
        <v>104</v>
      </c>
      <c r="C33" s="7" t="s">
        <v>298</v>
      </c>
      <c r="D33" s="68" t="s">
        <v>677</v>
      </c>
      <c r="E33" s="67"/>
      <c r="F33" s="50">
        <v>0.04</v>
      </c>
      <c r="G33" s="50">
        <f t="shared" si="0"/>
        <v>1.6E-2</v>
      </c>
      <c r="H33" s="8">
        <v>10000</v>
      </c>
      <c r="I33" s="19" t="s">
        <v>268</v>
      </c>
      <c r="J33" s="19"/>
      <c r="K33" s="18" t="s">
        <v>529</v>
      </c>
    </row>
    <row r="34" spans="2:11" s="6" customFormat="1" ht="12">
      <c r="B34" s="267" t="s">
        <v>105</v>
      </c>
      <c r="C34" s="7" t="s">
        <v>971</v>
      </c>
      <c r="D34" s="67" t="s">
        <v>946</v>
      </c>
      <c r="E34" s="67"/>
      <c r="F34" s="50">
        <v>9.2999999999999999E-2</v>
      </c>
      <c r="G34" s="50">
        <f t="shared" si="0"/>
        <v>6.9000000000000006E-2</v>
      </c>
      <c r="H34" s="8">
        <v>10000</v>
      </c>
      <c r="I34" s="19">
        <v>12</v>
      </c>
      <c r="J34" s="19"/>
      <c r="K34" s="18" t="s">
        <v>529</v>
      </c>
    </row>
    <row r="35" spans="2:11" s="6" customFormat="1" ht="12">
      <c r="B35" s="266" t="s">
        <v>91</v>
      </c>
      <c r="C35" s="7" t="s">
        <v>914</v>
      </c>
      <c r="D35" s="67" t="s">
        <v>108</v>
      </c>
      <c r="E35" s="67" t="s">
        <v>301</v>
      </c>
      <c r="F35" s="50">
        <v>3.5999999999999997E-2</v>
      </c>
      <c r="G35" s="50">
        <f t="shared" si="0"/>
        <v>1.1999999999999997E-2</v>
      </c>
      <c r="H35" s="8">
        <v>10000</v>
      </c>
      <c r="I35" s="19">
        <v>8</v>
      </c>
      <c r="J35" s="19"/>
      <c r="K35" s="18" t="s">
        <v>529</v>
      </c>
    </row>
    <row r="36" spans="2:11" s="6" customFormat="1" ht="12">
      <c r="B36" s="266" t="s">
        <v>92</v>
      </c>
      <c r="C36" s="7" t="s">
        <v>915</v>
      </c>
      <c r="D36" s="67" t="s">
        <v>108</v>
      </c>
      <c r="E36" s="67" t="s">
        <v>301</v>
      </c>
      <c r="F36" s="50">
        <v>0.04</v>
      </c>
      <c r="G36" s="50">
        <f t="shared" si="0"/>
        <v>1.6E-2</v>
      </c>
      <c r="H36" s="8">
        <v>10000</v>
      </c>
      <c r="I36" s="19" t="s">
        <v>107</v>
      </c>
      <c r="J36" s="19"/>
      <c r="K36" s="18" t="s">
        <v>529</v>
      </c>
    </row>
    <row r="37" spans="2:11" s="6" customFormat="1" ht="12">
      <c r="B37" s="266" t="s">
        <v>126</v>
      </c>
      <c r="C37" s="7" t="s">
        <v>920</v>
      </c>
      <c r="D37" s="68"/>
      <c r="E37" s="67"/>
      <c r="F37" s="84">
        <v>6.0999999999999999E-2</v>
      </c>
      <c r="G37" s="50">
        <f t="shared" si="0"/>
        <v>3.6999999999999998E-2</v>
      </c>
      <c r="H37" s="8">
        <v>10000</v>
      </c>
      <c r="I37" s="19">
        <v>6</v>
      </c>
      <c r="J37" s="19">
        <v>6</v>
      </c>
      <c r="K37" s="23" t="s">
        <v>529</v>
      </c>
    </row>
    <row r="38" spans="2:11" s="6" customFormat="1" ht="12">
      <c r="B38" s="268" t="s">
        <v>187</v>
      </c>
      <c r="C38" s="20" t="s">
        <v>609</v>
      </c>
      <c r="D38" s="62" t="s">
        <v>608</v>
      </c>
      <c r="E38" s="62" t="s">
        <v>301</v>
      </c>
      <c r="F38" s="60">
        <v>5.7000000000000002E-2</v>
      </c>
      <c r="G38" s="54">
        <f t="shared" si="0"/>
        <v>3.3000000000000002E-2</v>
      </c>
      <c r="H38" s="21">
        <v>20000</v>
      </c>
      <c r="I38" s="22"/>
      <c r="J38" s="22">
        <v>6</v>
      </c>
      <c r="K38" s="23" t="s">
        <v>529</v>
      </c>
    </row>
    <row r="39" spans="2:11" s="6" customFormat="1" ht="12.6" thickBot="1">
      <c r="B39" s="267" t="s">
        <v>299</v>
      </c>
      <c r="C39" s="7" t="s">
        <v>972</v>
      </c>
      <c r="D39" s="67" t="s">
        <v>946</v>
      </c>
      <c r="E39" s="67"/>
      <c r="F39" s="84">
        <v>8.3000000000000004E-2</v>
      </c>
      <c r="G39" s="50">
        <f t="shared" si="0"/>
        <v>5.9000000000000004E-2</v>
      </c>
      <c r="H39" s="8">
        <v>8000</v>
      </c>
      <c r="I39" s="19">
        <v>8</v>
      </c>
      <c r="J39" s="19"/>
      <c r="K39" s="18" t="s">
        <v>529</v>
      </c>
    </row>
    <row r="40" spans="2:11" s="6" customFormat="1" ht="12">
      <c r="B40" s="269" t="s">
        <v>930</v>
      </c>
      <c r="C40" s="25" t="s">
        <v>921</v>
      </c>
      <c r="D40" s="63" t="s">
        <v>923</v>
      </c>
      <c r="E40" s="63" t="s">
        <v>301</v>
      </c>
      <c r="F40" s="51">
        <v>4.9000000000000002E-2</v>
      </c>
      <c r="G40" s="51">
        <f t="shared" si="0"/>
        <v>2.5000000000000001E-2</v>
      </c>
      <c r="H40" s="26">
        <v>10000</v>
      </c>
      <c r="I40" s="27" t="s">
        <v>26</v>
      </c>
      <c r="J40" s="27"/>
      <c r="K40" s="28" t="s">
        <v>529</v>
      </c>
    </row>
    <row r="41" spans="2:11" s="6" customFormat="1" ht="12">
      <c r="B41" s="266" t="s">
        <v>931</v>
      </c>
      <c r="C41" s="7" t="s">
        <v>922</v>
      </c>
      <c r="D41" s="67" t="s">
        <v>924</v>
      </c>
      <c r="E41" s="67" t="s">
        <v>301</v>
      </c>
      <c r="F41" s="50">
        <v>9.2999999999999999E-2</v>
      </c>
      <c r="G41" s="50">
        <f t="shared" si="0"/>
        <v>6.9000000000000006E-2</v>
      </c>
      <c r="H41" s="8">
        <v>5000</v>
      </c>
      <c r="I41" s="19" t="s">
        <v>26</v>
      </c>
      <c r="J41" s="19"/>
      <c r="K41" s="18" t="s">
        <v>529</v>
      </c>
    </row>
    <row r="42" spans="2:11" s="6" customFormat="1" ht="12">
      <c r="B42" s="266" t="s">
        <v>45</v>
      </c>
      <c r="C42" s="7" t="s">
        <v>925</v>
      </c>
      <c r="D42" s="67"/>
      <c r="E42" s="67"/>
      <c r="F42" s="50">
        <v>4.3999999999999997E-2</v>
      </c>
      <c r="G42" s="50">
        <f t="shared" si="0"/>
        <v>1.9999999999999997E-2</v>
      </c>
      <c r="H42" s="8">
        <v>10000</v>
      </c>
      <c r="I42" s="19"/>
      <c r="J42" s="19">
        <v>6</v>
      </c>
      <c r="K42" s="18" t="s">
        <v>529</v>
      </c>
    </row>
    <row r="43" spans="2:11" s="6" customFormat="1" ht="12">
      <c r="B43" s="266" t="s">
        <v>46</v>
      </c>
      <c r="C43" s="7" t="s">
        <v>548</v>
      </c>
      <c r="D43" s="67"/>
      <c r="E43" s="67"/>
      <c r="F43" s="50">
        <v>6.8000000000000005E-2</v>
      </c>
      <c r="G43" s="50">
        <f t="shared" si="0"/>
        <v>4.4000000000000004E-2</v>
      </c>
      <c r="H43" s="8">
        <v>10000</v>
      </c>
      <c r="I43" s="19">
        <v>8</v>
      </c>
      <c r="J43" s="19" t="s">
        <v>52</v>
      </c>
      <c r="K43" s="18" t="s">
        <v>529</v>
      </c>
    </row>
    <row r="44" spans="2:11" s="6" customFormat="1" ht="12">
      <c r="B44" s="266" t="s">
        <v>47</v>
      </c>
      <c r="C44" s="7" t="s">
        <v>926</v>
      </c>
      <c r="D44" s="67"/>
      <c r="E44" s="67"/>
      <c r="F44" s="50">
        <v>0.04</v>
      </c>
      <c r="G44" s="50">
        <f t="shared" si="0"/>
        <v>1.6E-2</v>
      </c>
      <c r="H44" s="8">
        <v>30000</v>
      </c>
      <c r="I44" s="19"/>
      <c r="J44" s="19">
        <v>5</v>
      </c>
      <c r="K44" s="18" t="s">
        <v>529</v>
      </c>
    </row>
    <row r="45" spans="2:11" s="6" customFormat="1" ht="12">
      <c r="B45" s="266" t="s">
        <v>48</v>
      </c>
      <c r="C45" s="7" t="s">
        <v>128</v>
      </c>
      <c r="D45" s="67"/>
      <c r="E45" s="67" t="s">
        <v>301</v>
      </c>
      <c r="F45" s="50">
        <v>4.5999999999999999E-2</v>
      </c>
      <c r="G45" s="50">
        <f t="shared" si="0"/>
        <v>2.1999999999999999E-2</v>
      </c>
      <c r="H45" s="8">
        <v>20000</v>
      </c>
      <c r="I45" s="19"/>
      <c r="J45" s="19">
        <v>6</v>
      </c>
      <c r="K45" s="18" t="s">
        <v>529</v>
      </c>
    </row>
    <row r="46" spans="2:11" s="6" customFormat="1" ht="12">
      <c r="B46" s="266" t="s">
        <v>49</v>
      </c>
      <c r="C46" s="7" t="s">
        <v>549</v>
      </c>
      <c r="D46" s="67"/>
      <c r="E46" s="67"/>
      <c r="F46" s="50">
        <v>6.8000000000000005E-2</v>
      </c>
      <c r="G46" s="50">
        <f t="shared" si="0"/>
        <v>4.4000000000000004E-2</v>
      </c>
      <c r="H46" s="8">
        <v>10000</v>
      </c>
      <c r="I46" s="19">
        <v>8</v>
      </c>
      <c r="J46" s="19" t="s">
        <v>53</v>
      </c>
      <c r="K46" s="18" t="s">
        <v>529</v>
      </c>
    </row>
    <row r="47" spans="2:11" s="6" customFormat="1" ht="12">
      <c r="B47" s="266" t="s">
        <v>50</v>
      </c>
      <c r="C47" s="7" t="s">
        <v>927</v>
      </c>
      <c r="D47" s="67"/>
      <c r="E47" s="67"/>
      <c r="F47" s="50">
        <v>7.1999999999999995E-2</v>
      </c>
      <c r="G47" s="50">
        <f t="shared" si="0"/>
        <v>4.7999999999999994E-2</v>
      </c>
      <c r="H47" s="8">
        <v>10000</v>
      </c>
      <c r="I47" s="19" t="s">
        <v>26</v>
      </c>
      <c r="J47" s="19">
        <v>8</v>
      </c>
      <c r="K47" s="18" t="s">
        <v>529</v>
      </c>
    </row>
    <row r="48" spans="2:11" s="6" customFormat="1" ht="12">
      <c r="B48" s="266" t="s">
        <v>51</v>
      </c>
      <c r="C48" s="7" t="s">
        <v>276</v>
      </c>
      <c r="D48" s="67" t="s">
        <v>250</v>
      </c>
      <c r="E48" s="67" t="s">
        <v>301</v>
      </c>
      <c r="F48" s="50">
        <v>3.4000000000000002E-2</v>
      </c>
      <c r="G48" s="50">
        <f t="shared" si="0"/>
        <v>1.0000000000000002E-2</v>
      </c>
      <c r="H48" s="8">
        <v>50000</v>
      </c>
      <c r="I48" s="19"/>
      <c r="J48" s="19">
        <v>1</v>
      </c>
      <c r="K48" s="18" t="s">
        <v>529</v>
      </c>
    </row>
    <row r="49" spans="2:11" s="6" customFormat="1" ht="12">
      <c r="B49" s="266" t="s">
        <v>251</v>
      </c>
      <c r="C49" s="7" t="s">
        <v>252</v>
      </c>
      <c r="D49" s="67" t="s">
        <v>250</v>
      </c>
      <c r="E49" s="67" t="s">
        <v>301</v>
      </c>
      <c r="F49" s="50">
        <v>4.9000000000000002E-2</v>
      </c>
      <c r="G49" s="50">
        <f t="shared" si="0"/>
        <v>2.5000000000000001E-2</v>
      </c>
      <c r="H49" s="8">
        <v>20000</v>
      </c>
      <c r="I49" s="19">
        <v>10</v>
      </c>
      <c r="J49" s="19">
        <v>5</v>
      </c>
      <c r="K49" s="18" t="s">
        <v>529</v>
      </c>
    </row>
    <row r="50" spans="2:11" s="6" customFormat="1" ht="12">
      <c r="B50" s="266" t="s">
        <v>54</v>
      </c>
      <c r="C50" s="7" t="s">
        <v>129</v>
      </c>
      <c r="D50" s="67"/>
      <c r="E50" s="67"/>
      <c r="F50" s="50">
        <v>8.7999999999999995E-2</v>
      </c>
      <c r="G50" s="50">
        <f t="shared" ref="G50:G67" si="1">F50-0.024</f>
        <v>6.4000000000000001E-2</v>
      </c>
      <c r="H50" s="8">
        <v>10000</v>
      </c>
      <c r="I50" s="19">
        <v>6</v>
      </c>
      <c r="J50" s="19" t="s">
        <v>55</v>
      </c>
      <c r="K50" s="18" t="s">
        <v>529</v>
      </c>
    </row>
    <row r="51" spans="2:11" s="6" customFormat="1" ht="12">
      <c r="B51" s="266" t="s">
        <v>84</v>
      </c>
      <c r="C51" s="7" t="s">
        <v>87</v>
      </c>
      <c r="D51" s="67" t="s">
        <v>85</v>
      </c>
      <c r="E51" s="67" t="s">
        <v>301</v>
      </c>
      <c r="F51" s="50">
        <v>5.0999999999999997E-2</v>
      </c>
      <c r="G51" s="50">
        <f t="shared" si="1"/>
        <v>2.6999999999999996E-2</v>
      </c>
      <c r="H51" s="8">
        <v>30000</v>
      </c>
      <c r="I51" s="19" t="s">
        <v>86</v>
      </c>
      <c r="J51" s="19"/>
      <c r="K51" s="18" t="s">
        <v>529</v>
      </c>
    </row>
    <row r="52" spans="2:11" s="6" customFormat="1" ht="12">
      <c r="B52" s="266" t="s">
        <v>56</v>
      </c>
      <c r="C52" s="7" t="s">
        <v>928</v>
      </c>
      <c r="D52" s="67"/>
      <c r="E52" s="67"/>
      <c r="F52" s="50">
        <v>7.2999999999999995E-2</v>
      </c>
      <c r="G52" s="50">
        <f t="shared" si="1"/>
        <v>4.8999999999999995E-2</v>
      </c>
      <c r="H52" s="8">
        <v>10000</v>
      </c>
      <c r="I52" s="19" t="s">
        <v>26</v>
      </c>
      <c r="J52" s="19" t="s">
        <v>55</v>
      </c>
      <c r="K52" s="18" t="s">
        <v>529</v>
      </c>
    </row>
    <row r="53" spans="2:11" s="6" customFormat="1" ht="12">
      <c r="B53" s="266" t="s">
        <v>57</v>
      </c>
      <c r="C53" s="7" t="s">
        <v>929</v>
      </c>
      <c r="D53" s="67"/>
      <c r="E53" s="67"/>
      <c r="F53" s="50">
        <v>8.1000000000000003E-2</v>
      </c>
      <c r="G53" s="50">
        <f t="shared" si="1"/>
        <v>5.7000000000000002E-2</v>
      </c>
      <c r="H53" s="8">
        <v>10000</v>
      </c>
      <c r="I53" s="19" t="s">
        <v>232</v>
      </c>
      <c r="J53" s="19" t="s">
        <v>55</v>
      </c>
      <c r="K53" s="18" t="s">
        <v>529</v>
      </c>
    </row>
    <row r="54" spans="2:11" s="6" customFormat="1" ht="12">
      <c r="B54" s="268" t="s">
        <v>130</v>
      </c>
      <c r="C54" s="7" t="s">
        <v>131</v>
      </c>
      <c r="D54" s="62"/>
      <c r="E54" s="62" t="s">
        <v>301</v>
      </c>
      <c r="F54" s="54">
        <v>7.2999999999999995E-2</v>
      </c>
      <c r="G54" s="54">
        <f t="shared" si="1"/>
        <v>4.8999999999999995E-2</v>
      </c>
      <c r="H54" s="8">
        <v>10000</v>
      </c>
      <c r="I54" s="19" t="s">
        <v>107</v>
      </c>
      <c r="J54" s="19">
        <v>2</v>
      </c>
      <c r="K54" s="23" t="s">
        <v>529</v>
      </c>
    </row>
    <row r="55" spans="2:11" s="6" customFormat="1" ht="12">
      <c r="B55" s="268" t="s">
        <v>132</v>
      </c>
      <c r="C55" s="7" t="s">
        <v>901</v>
      </c>
      <c r="D55" s="62"/>
      <c r="E55" s="62"/>
      <c r="F55" s="54">
        <v>4.2000000000000003E-2</v>
      </c>
      <c r="G55" s="54">
        <f t="shared" si="1"/>
        <v>1.8000000000000002E-2</v>
      </c>
      <c r="H55" s="8">
        <v>20000</v>
      </c>
      <c r="I55" s="19"/>
      <c r="J55" s="19">
        <v>6</v>
      </c>
      <c r="K55" s="23" t="s">
        <v>529</v>
      </c>
    </row>
    <row r="56" spans="2:11" s="6" customFormat="1" ht="12">
      <c r="B56" s="268" t="s">
        <v>133</v>
      </c>
      <c r="C56" s="20" t="s">
        <v>602</v>
      </c>
      <c r="D56" s="62"/>
      <c r="E56" s="62"/>
      <c r="F56" s="54">
        <v>5.2999999999999999E-2</v>
      </c>
      <c r="G56" s="54">
        <f t="shared" si="1"/>
        <v>2.8999999999999998E-2</v>
      </c>
      <c r="H56" s="21">
        <v>10000</v>
      </c>
      <c r="I56" s="19">
        <v>4</v>
      </c>
      <c r="J56" s="22" t="s">
        <v>107</v>
      </c>
      <c r="K56" s="23" t="s">
        <v>529</v>
      </c>
    </row>
    <row r="57" spans="2:11" s="6" customFormat="1" ht="12">
      <c r="B57" s="268" t="s">
        <v>134</v>
      </c>
      <c r="C57" s="20" t="s">
        <v>902</v>
      </c>
      <c r="D57" s="62"/>
      <c r="E57" s="62"/>
      <c r="F57" s="54">
        <v>5.2999999999999999E-2</v>
      </c>
      <c r="G57" s="54">
        <f t="shared" si="1"/>
        <v>2.8999999999999998E-2</v>
      </c>
      <c r="H57" s="21">
        <v>20000</v>
      </c>
      <c r="I57" s="22">
        <v>3</v>
      </c>
      <c r="J57" s="22">
        <v>4</v>
      </c>
      <c r="K57" s="23" t="s">
        <v>529</v>
      </c>
    </row>
    <row r="58" spans="2:11" s="6" customFormat="1" ht="12">
      <c r="B58" s="268" t="s">
        <v>135</v>
      </c>
      <c r="C58" s="20" t="s">
        <v>903</v>
      </c>
      <c r="D58" s="62"/>
      <c r="E58" s="62"/>
      <c r="F58" s="54">
        <v>7.1999999999999995E-2</v>
      </c>
      <c r="G58" s="54">
        <f t="shared" si="1"/>
        <v>4.7999999999999994E-2</v>
      </c>
      <c r="H58" s="21">
        <v>10000</v>
      </c>
      <c r="I58" s="22">
        <v>6</v>
      </c>
      <c r="J58" s="22">
        <v>6</v>
      </c>
      <c r="K58" s="23" t="s">
        <v>529</v>
      </c>
    </row>
    <row r="59" spans="2:11" s="6" customFormat="1" ht="12">
      <c r="B59" s="268" t="s">
        <v>136</v>
      </c>
      <c r="C59" s="20" t="s">
        <v>137</v>
      </c>
      <c r="D59" s="62"/>
      <c r="E59" s="62"/>
      <c r="F59" s="54">
        <v>6.6000000000000003E-2</v>
      </c>
      <c r="G59" s="54">
        <f t="shared" si="1"/>
        <v>4.2000000000000003E-2</v>
      </c>
      <c r="H59" s="21">
        <v>6000</v>
      </c>
      <c r="I59" s="22"/>
      <c r="J59" s="22">
        <v>5</v>
      </c>
      <c r="K59" s="23" t="s">
        <v>529</v>
      </c>
    </row>
    <row r="60" spans="2:11" s="6" customFormat="1" ht="12">
      <c r="B60" s="268" t="s">
        <v>266</v>
      </c>
      <c r="C60" s="20" t="s">
        <v>879</v>
      </c>
      <c r="D60" s="62"/>
      <c r="E60" s="62" t="s">
        <v>301</v>
      </c>
      <c r="F60" s="54">
        <v>6.8000000000000005E-2</v>
      </c>
      <c r="G60" s="54">
        <f t="shared" si="1"/>
        <v>4.4000000000000004E-2</v>
      </c>
      <c r="H60" s="21">
        <v>10000</v>
      </c>
      <c r="I60" s="22"/>
      <c r="J60" s="22" t="s">
        <v>107</v>
      </c>
      <c r="K60" s="23" t="s">
        <v>529</v>
      </c>
    </row>
    <row r="61" spans="2:11" s="6" customFormat="1" ht="12">
      <c r="B61" s="268" t="s">
        <v>267</v>
      </c>
      <c r="C61" s="20" t="s">
        <v>880</v>
      </c>
      <c r="D61" s="62"/>
      <c r="E61" s="62" t="s">
        <v>301</v>
      </c>
      <c r="F61" s="54">
        <v>5.7000000000000002E-2</v>
      </c>
      <c r="G61" s="54">
        <f t="shared" si="1"/>
        <v>3.3000000000000002E-2</v>
      </c>
      <c r="H61" s="21">
        <v>10000</v>
      </c>
      <c r="I61" s="22" t="s">
        <v>107</v>
      </c>
      <c r="J61" s="22"/>
      <c r="K61" s="23" t="s">
        <v>529</v>
      </c>
    </row>
    <row r="62" spans="2:11" s="6" customFormat="1" ht="12">
      <c r="B62" s="268" t="s">
        <v>904</v>
      </c>
      <c r="C62" s="20" t="s">
        <v>906</v>
      </c>
      <c r="D62" s="62"/>
      <c r="E62" s="62"/>
      <c r="F62" s="54">
        <v>6.8000000000000005E-2</v>
      </c>
      <c r="G62" s="54">
        <f t="shared" si="1"/>
        <v>4.4000000000000004E-2</v>
      </c>
      <c r="H62" s="21">
        <v>10000</v>
      </c>
      <c r="I62" s="22">
        <v>4</v>
      </c>
      <c r="J62" s="22" t="s">
        <v>107</v>
      </c>
      <c r="K62" s="23" t="s">
        <v>529</v>
      </c>
    </row>
    <row r="63" spans="2:11" s="6" customFormat="1" ht="12.6" thickBot="1">
      <c r="B63" s="268" t="s">
        <v>905</v>
      </c>
      <c r="C63" s="20" t="s">
        <v>907</v>
      </c>
      <c r="D63" s="62"/>
      <c r="E63" s="62"/>
      <c r="F63" s="54">
        <v>8.3000000000000004E-2</v>
      </c>
      <c r="G63" s="54">
        <f t="shared" si="1"/>
        <v>5.9000000000000004E-2</v>
      </c>
      <c r="H63" s="21">
        <v>10000</v>
      </c>
      <c r="I63" s="22">
        <v>4</v>
      </c>
      <c r="J63" s="22" t="s">
        <v>107</v>
      </c>
      <c r="K63" s="23" t="s">
        <v>529</v>
      </c>
    </row>
    <row r="64" spans="2:11" s="6" customFormat="1" ht="12">
      <c r="B64" s="269" t="s">
        <v>58</v>
      </c>
      <c r="C64" s="25" t="s">
        <v>881</v>
      </c>
      <c r="D64" s="63"/>
      <c r="E64" s="63" t="s">
        <v>301</v>
      </c>
      <c r="F64" s="51">
        <v>5.2999999999999999E-2</v>
      </c>
      <c r="G64" s="51">
        <f t="shared" si="1"/>
        <v>2.8999999999999998E-2</v>
      </c>
      <c r="H64" s="26">
        <v>20000</v>
      </c>
      <c r="I64" s="27">
        <v>3</v>
      </c>
      <c r="J64" s="27">
        <v>5</v>
      </c>
      <c r="K64" s="28" t="s">
        <v>529</v>
      </c>
    </row>
    <row r="65" spans="2:11" s="6" customFormat="1" ht="12">
      <c r="B65" s="266" t="s">
        <v>885</v>
      </c>
      <c r="C65" s="7" t="s">
        <v>882</v>
      </c>
      <c r="D65" s="67"/>
      <c r="E65" s="67" t="s">
        <v>301</v>
      </c>
      <c r="F65" s="50">
        <v>5.5E-2</v>
      </c>
      <c r="G65" s="50">
        <f t="shared" si="1"/>
        <v>3.1E-2</v>
      </c>
      <c r="H65" s="8">
        <v>10000</v>
      </c>
      <c r="I65" s="19">
        <v>13</v>
      </c>
      <c r="J65" s="19">
        <v>4</v>
      </c>
      <c r="K65" s="18" t="s">
        <v>529</v>
      </c>
    </row>
    <row r="66" spans="2:11" s="6" customFormat="1" ht="12">
      <c r="B66" s="266" t="s">
        <v>886</v>
      </c>
      <c r="C66" s="7" t="s">
        <v>883</v>
      </c>
      <c r="D66" s="67"/>
      <c r="E66" s="67" t="s">
        <v>301</v>
      </c>
      <c r="F66" s="50">
        <v>7.0000000000000007E-2</v>
      </c>
      <c r="G66" s="50">
        <f t="shared" si="1"/>
        <v>4.6000000000000006E-2</v>
      </c>
      <c r="H66" s="8">
        <v>20000</v>
      </c>
      <c r="I66" s="19">
        <v>8</v>
      </c>
      <c r="J66" s="19"/>
      <c r="K66" s="18" t="s">
        <v>529</v>
      </c>
    </row>
    <row r="67" spans="2:11" s="6" customFormat="1" ht="12">
      <c r="B67" s="266" t="s">
        <v>59</v>
      </c>
      <c r="C67" s="7" t="s">
        <v>884</v>
      </c>
      <c r="D67" s="67"/>
      <c r="E67" s="67"/>
      <c r="F67" s="50">
        <v>7.8E-2</v>
      </c>
      <c r="G67" s="50">
        <f t="shared" si="1"/>
        <v>5.3999999999999999E-2</v>
      </c>
      <c r="H67" s="8">
        <v>10000</v>
      </c>
      <c r="I67" s="19"/>
      <c r="J67" s="19" t="s">
        <v>623</v>
      </c>
      <c r="K67" s="18" t="s">
        <v>529</v>
      </c>
    </row>
    <row r="68" spans="2:11" s="6" customFormat="1" ht="12">
      <c r="B68" s="16"/>
      <c r="C68" s="7"/>
      <c r="D68" s="67"/>
      <c r="E68" s="67"/>
      <c r="F68" s="55"/>
      <c r="G68" s="55"/>
      <c r="H68" s="8"/>
      <c r="I68" s="19"/>
      <c r="J68" s="19"/>
      <c r="K68" s="18"/>
    </row>
    <row r="69" spans="2:11" s="6" customFormat="1">
      <c r="B69" s="326" t="s">
        <v>1261</v>
      </c>
      <c r="C69" s="327"/>
      <c r="D69" s="327"/>
      <c r="E69" s="327"/>
      <c r="F69" s="327"/>
      <c r="G69" s="327"/>
      <c r="H69" s="327"/>
      <c r="I69" s="327"/>
      <c r="J69" s="327"/>
      <c r="K69" s="328"/>
    </row>
    <row r="70" spans="2:11" s="6" customFormat="1" ht="12.6" thickBot="1">
      <c r="B70" s="17"/>
      <c r="C70" s="9"/>
      <c r="D70" s="69"/>
      <c r="E70" s="69"/>
      <c r="F70" s="53"/>
      <c r="G70" s="53"/>
      <c r="H70" s="9"/>
      <c r="I70" s="9"/>
      <c r="J70" s="9"/>
      <c r="K70" s="10"/>
    </row>
    <row r="71" spans="2:11" s="71" customFormat="1" ht="13.5" customHeight="1">
      <c r="B71" s="164" t="s">
        <v>1287</v>
      </c>
      <c r="C71" s="72"/>
      <c r="D71" s="73"/>
      <c r="E71" s="73"/>
      <c r="F71" s="74"/>
      <c r="G71" s="74"/>
      <c r="H71" s="72"/>
      <c r="I71" s="72"/>
      <c r="J71" s="72"/>
      <c r="K71" s="75"/>
    </row>
    <row r="72" spans="2:11" s="6" customFormat="1" ht="12.6" thickBot="1">
      <c r="B72" s="170" t="s">
        <v>3</v>
      </c>
      <c r="C72" s="171" t="s">
        <v>4</v>
      </c>
      <c r="D72" s="172" t="s">
        <v>5</v>
      </c>
      <c r="E72" s="172" t="s">
        <v>302</v>
      </c>
      <c r="F72" s="331" t="s">
        <v>80</v>
      </c>
      <c r="G72" s="332"/>
      <c r="H72" s="173" t="s">
        <v>6</v>
      </c>
      <c r="I72" s="337" t="s">
        <v>7</v>
      </c>
      <c r="J72" s="338"/>
      <c r="K72" s="155" t="s">
        <v>329</v>
      </c>
    </row>
    <row r="73" spans="2:11">
      <c r="B73" s="156"/>
      <c r="C73" s="157"/>
      <c r="D73" s="158"/>
      <c r="E73" s="158"/>
      <c r="F73" s="159" t="s">
        <v>361</v>
      </c>
      <c r="G73" s="160" t="s">
        <v>81</v>
      </c>
      <c r="H73" s="161" t="s">
        <v>2</v>
      </c>
      <c r="I73" s="162" t="s">
        <v>0</v>
      </c>
      <c r="J73" s="162" t="s">
        <v>1</v>
      </c>
      <c r="K73" s="163"/>
    </row>
    <row r="74" spans="2:11" s="6" customFormat="1" ht="12">
      <c r="B74" s="192" t="s">
        <v>258</v>
      </c>
      <c r="C74" s="7" t="s">
        <v>407</v>
      </c>
      <c r="D74" s="67"/>
      <c r="E74" s="67" t="s">
        <v>301</v>
      </c>
      <c r="F74" s="50">
        <v>6.3E-2</v>
      </c>
      <c r="G74" s="50">
        <f t="shared" ref="G74:G80" si="2">F74-0.024</f>
        <v>3.9E-2</v>
      </c>
      <c r="H74" s="8">
        <v>10000</v>
      </c>
      <c r="I74" s="19">
        <v>8</v>
      </c>
      <c r="J74" s="19"/>
      <c r="K74" s="139" t="s">
        <v>374</v>
      </c>
    </row>
    <row r="75" spans="2:11" s="6" customFormat="1" ht="12">
      <c r="B75" s="192" t="s">
        <v>93</v>
      </c>
      <c r="C75" s="7" t="s">
        <v>908</v>
      </c>
      <c r="D75" s="67"/>
      <c r="E75" s="67"/>
      <c r="F75" s="50">
        <v>6.0999999999999999E-2</v>
      </c>
      <c r="G75" s="50">
        <f t="shared" si="2"/>
        <v>3.6999999999999998E-2</v>
      </c>
      <c r="H75" s="8">
        <v>10000</v>
      </c>
      <c r="I75" s="19">
        <v>4</v>
      </c>
      <c r="J75" s="19">
        <v>4</v>
      </c>
      <c r="K75" s="18" t="s">
        <v>530</v>
      </c>
    </row>
    <row r="76" spans="2:11" s="6" customFormat="1" ht="12">
      <c r="B76" s="192" t="s">
        <v>100</v>
      </c>
      <c r="C76" s="7" t="s">
        <v>911</v>
      </c>
      <c r="D76" s="67" t="s">
        <v>973</v>
      </c>
      <c r="E76" s="67"/>
      <c r="F76" s="50">
        <v>9.2999999999999999E-2</v>
      </c>
      <c r="G76" s="50">
        <f t="shared" si="2"/>
        <v>6.9000000000000006E-2</v>
      </c>
      <c r="H76" s="8">
        <v>10000</v>
      </c>
      <c r="I76" s="19">
        <v>13</v>
      </c>
      <c r="J76" s="19"/>
      <c r="K76" s="18" t="s">
        <v>530</v>
      </c>
    </row>
    <row r="77" spans="2:11" s="6" customFormat="1" ht="12">
      <c r="B77" s="192" t="s">
        <v>101</v>
      </c>
      <c r="C77" s="7" t="s">
        <v>912</v>
      </c>
      <c r="D77" s="67" t="s">
        <v>913</v>
      </c>
      <c r="E77" s="67"/>
      <c r="F77" s="50">
        <v>6.3E-2</v>
      </c>
      <c r="G77" s="50">
        <f t="shared" si="2"/>
        <v>3.9E-2</v>
      </c>
      <c r="H77" s="8">
        <v>10000</v>
      </c>
      <c r="I77" s="19">
        <v>6</v>
      </c>
      <c r="J77" s="19" t="s">
        <v>107</v>
      </c>
      <c r="K77" s="18" t="s">
        <v>530</v>
      </c>
    </row>
    <row r="78" spans="2:11" s="6" customFormat="1" ht="12">
      <c r="B78" s="192" t="s">
        <v>106</v>
      </c>
      <c r="C78" s="7" t="s">
        <v>909</v>
      </c>
      <c r="D78" s="67" t="s">
        <v>1292</v>
      </c>
      <c r="E78" s="67"/>
      <c r="F78" s="50">
        <v>4.2000000000000003E-2</v>
      </c>
      <c r="G78" s="50">
        <f t="shared" si="2"/>
        <v>1.8000000000000002E-2</v>
      </c>
      <c r="H78" s="8">
        <v>30000</v>
      </c>
      <c r="I78" s="19">
        <v>20</v>
      </c>
      <c r="J78" s="19"/>
      <c r="K78" s="18" t="s">
        <v>530</v>
      </c>
    </row>
    <row r="79" spans="2:11" s="6" customFormat="1" ht="12">
      <c r="B79" s="202" t="s">
        <v>300</v>
      </c>
      <c r="C79" s="7" t="s">
        <v>910</v>
      </c>
      <c r="D79" s="67" t="s">
        <v>973</v>
      </c>
      <c r="E79" s="67"/>
      <c r="F79" s="84">
        <v>9.2999999999999999E-2</v>
      </c>
      <c r="G79" s="50">
        <f t="shared" si="2"/>
        <v>6.9000000000000006E-2</v>
      </c>
      <c r="H79" s="8">
        <v>10000</v>
      </c>
      <c r="I79" s="256">
        <v>12</v>
      </c>
      <c r="J79" s="256"/>
      <c r="K79" s="263" t="s">
        <v>530</v>
      </c>
    </row>
    <row r="80" spans="2:11" s="6" customFormat="1" ht="12">
      <c r="B80" s="192" t="s">
        <v>120</v>
      </c>
      <c r="C80" s="7" t="s">
        <v>861</v>
      </c>
      <c r="D80" s="67"/>
      <c r="E80" s="67" t="s">
        <v>301</v>
      </c>
      <c r="F80" s="50">
        <v>6.7000000000000004E-2</v>
      </c>
      <c r="G80" s="50">
        <f t="shared" si="2"/>
        <v>4.3000000000000003E-2</v>
      </c>
      <c r="H80" s="8">
        <v>10000</v>
      </c>
      <c r="I80" s="19">
        <v>1</v>
      </c>
      <c r="J80" s="19">
        <v>5</v>
      </c>
      <c r="K80" s="18" t="s">
        <v>530</v>
      </c>
    </row>
    <row r="81" spans="2:11" s="6" customFormat="1" ht="12">
      <c r="B81" s="192" t="s">
        <v>121</v>
      </c>
      <c r="C81" s="7" t="s">
        <v>860</v>
      </c>
      <c r="D81" s="67"/>
      <c r="E81" s="67"/>
      <c r="F81" s="50">
        <v>6.7000000000000004E-2</v>
      </c>
      <c r="G81" s="50">
        <f t="shared" ref="G81:G94" si="3">F81-0.024</f>
        <v>4.3000000000000003E-2</v>
      </c>
      <c r="H81" s="8">
        <v>30000</v>
      </c>
      <c r="I81" s="19">
        <v>14</v>
      </c>
      <c r="J81" s="19">
        <v>6</v>
      </c>
      <c r="K81" s="18" t="s">
        <v>530</v>
      </c>
    </row>
    <row r="82" spans="2:11" s="6" customFormat="1" ht="12">
      <c r="B82" s="192" t="s">
        <v>122</v>
      </c>
      <c r="C82" s="7" t="s">
        <v>859</v>
      </c>
      <c r="D82" s="67"/>
      <c r="E82" s="67"/>
      <c r="F82" s="50">
        <v>7.3999999999999996E-2</v>
      </c>
      <c r="G82" s="50">
        <f t="shared" si="3"/>
        <v>4.9999999999999996E-2</v>
      </c>
      <c r="H82" s="8">
        <v>30000</v>
      </c>
      <c r="I82" s="19">
        <v>8</v>
      </c>
      <c r="J82" s="19">
        <v>4</v>
      </c>
      <c r="K82" s="18" t="s">
        <v>530</v>
      </c>
    </row>
    <row r="83" spans="2:11" s="6" customFormat="1" ht="12">
      <c r="B83" s="192" t="s">
        <v>109</v>
      </c>
      <c r="C83" s="7" t="s">
        <v>858</v>
      </c>
      <c r="D83" s="90"/>
      <c r="E83" s="68"/>
      <c r="F83" s="50">
        <v>7.0000000000000007E-2</v>
      </c>
      <c r="G83" s="50">
        <f t="shared" si="3"/>
        <v>4.6000000000000006E-2</v>
      </c>
      <c r="H83" s="8">
        <v>10000</v>
      </c>
      <c r="I83" s="19">
        <v>8</v>
      </c>
      <c r="J83" s="19"/>
      <c r="K83" s="18" t="s">
        <v>530</v>
      </c>
    </row>
    <row r="84" spans="2:11" s="6" customFormat="1" ht="12">
      <c r="B84" s="192" t="s">
        <v>110</v>
      </c>
      <c r="C84" s="7" t="s">
        <v>393</v>
      </c>
      <c r="D84" s="67"/>
      <c r="E84" s="67"/>
      <c r="F84" s="50">
        <v>7.4999999999999997E-2</v>
      </c>
      <c r="G84" s="50">
        <f t="shared" si="3"/>
        <v>5.0999999999999997E-2</v>
      </c>
      <c r="H84" s="8">
        <v>6000</v>
      </c>
      <c r="I84" s="19">
        <v>6</v>
      </c>
      <c r="J84" s="19"/>
      <c r="K84" s="18" t="s">
        <v>530</v>
      </c>
    </row>
    <row r="85" spans="2:11" s="6" customFormat="1" ht="12">
      <c r="B85" s="192" t="s">
        <v>111</v>
      </c>
      <c r="C85" s="7" t="s">
        <v>857</v>
      </c>
      <c r="D85" s="67"/>
      <c r="E85" s="67"/>
      <c r="F85" s="50">
        <v>7.3999999999999996E-2</v>
      </c>
      <c r="G85" s="50">
        <f t="shared" si="3"/>
        <v>4.9999999999999996E-2</v>
      </c>
      <c r="H85" s="8">
        <v>10000</v>
      </c>
      <c r="I85" s="19">
        <v>6</v>
      </c>
      <c r="J85" s="19" t="s">
        <v>107</v>
      </c>
      <c r="K85" s="18" t="s">
        <v>530</v>
      </c>
    </row>
    <row r="86" spans="2:11" s="6" customFormat="1" ht="12">
      <c r="B86" s="192" t="s">
        <v>112</v>
      </c>
      <c r="C86" s="7" t="s">
        <v>856</v>
      </c>
      <c r="D86" s="67"/>
      <c r="E86" s="67"/>
      <c r="F86" s="50">
        <v>5.0999999999999997E-2</v>
      </c>
      <c r="G86" s="50">
        <f t="shared" si="3"/>
        <v>2.6999999999999996E-2</v>
      </c>
      <c r="H86" s="8">
        <v>10000</v>
      </c>
      <c r="I86" s="19">
        <v>6</v>
      </c>
      <c r="J86" s="19">
        <v>5</v>
      </c>
      <c r="K86" s="18" t="s">
        <v>530</v>
      </c>
    </row>
    <row r="87" spans="2:11" s="6" customFormat="1" ht="12">
      <c r="B87" s="192" t="s">
        <v>113</v>
      </c>
      <c r="C87" s="7" t="s">
        <v>124</v>
      </c>
      <c r="D87" s="67"/>
      <c r="E87" s="67" t="s">
        <v>301</v>
      </c>
      <c r="F87" s="50">
        <v>6.8000000000000005E-2</v>
      </c>
      <c r="G87" s="50">
        <f t="shared" si="3"/>
        <v>4.4000000000000004E-2</v>
      </c>
      <c r="H87" s="8">
        <v>10000</v>
      </c>
      <c r="I87" s="19">
        <v>6</v>
      </c>
      <c r="J87" s="19">
        <v>6</v>
      </c>
      <c r="K87" s="18" t="s">
        <v>530</v>
      </c>
    </row>
    <row r="88" spans="2:11" s="6" customFormat="1" ht="12">
      <c r="B88" s="192" t="s">
        <v>114</v>
      </c>
      <c r="C88" s="7" t="s">
        <v>855</v>
      </c>
      <c r="D88" s="67"/>
      <c r="E88" s="67"/>
      <c r="F88" s="50">
        <v>6.8000000000000005E-2</v>
      </c>
      <c r="G88" s="50">
        <f t="shared" si="3"/>
        <v>4.4000000000000004E-2</v>
      </c>
      <c r="H88" s="8">
        <v>10000</v>
      </c>
      <c r="I88" s="19">
        <v>5</v>
      </c>
      <c r="J88" s="19">
        <v>4</v>
      </c>
      <c r="K88" s="18" t="s">
        <v>530</v>
      </c>
    </row>
    <row r="89" spans="2:11" s="6" customFormat="1" ht="12">
      <c r="B89" s="192" t="s">
        <v>115</v>
      </c>
      <c r="C89" s="7" t="s">
        <v>854</v>
      </c>
      <c r="D89" s="67"/>
      <c r="E89" s="67"/>
      <c r="F89" s="50">
        <v>5.7000000000000002E-2</v>
      </c>
      <c r="G89" s="50">
        <f t="shared" si="3"/>
        <v>3.3000000000000002E-2</v>
      </c>
      <c r="H89" s="8">
        <v>10000</v>
      </c>
      <c r="I89" s="19"/>
      <c r="J89" s="19"/>
      <c r="K89" s="18" t="s">
        <v>530</v>
      </c>
    </row>
    <row r="90" spans="2:11" s="6" customFormat="1" ht="12">
      <c r="B90" s="192" t="s">
        <v>116</v>
      </c>
      <c r="C90" s="7" t="s">
        <v>853</v>
      </c>
      <c r="D90" s="67" t="s">
        <v>864</v>
      </c>
      <c r="E90" s="67" t="s">
        <v>301</v>
      </c>
      <c r="F90" s="50">
        <v>6.0999999999999999E-2</v>
      </c>
      <c r="G90" s="50">
        <f t="shared" si="3"/>
        <v>3.6999999999999998E-2</v>
      </c>
      <c r="H90" s="8">
        <v>20000</v>
      </c>
      <c r="I90" s="19"/>
      <c r="J90" s="19">
        <v>8</v>
      </c>
      <c r="K90" s="18" t="s">
        <v>530</v>
      </c>
    </row>
    <row r="91" spans="2:11" s="6" customFormat="1" ht="12">
      <c r="B91" s="192" t="s">
        <v>117</v>
      </c>
      <c r="C91" s="7" t="s">
        <v>852</v>
      </c>
      <c r="D91" s="67" t="s">
        <v>108</v>
      </c>
      <c r="E91" s="67" t="s">
        <v>301</v>
      </c>
      <c r="F91" s="50">
        <v>7.5999999999999998E-2</v>
      </c>
      <c r="G91" s="50">
        <f t="shared" si="3"/>
        <v>5.1999999999999998E-2</v>
      </c>
      <c r="H91" s="8">
        <v>10000</v>
      </c>
      <c r="I91" s="19">
        <v>5</v>
      </c>
      <c r="J91" s="19">
        <v>4</v>
      </c>
      <c r="K91" s="18" t="s">
        <v>530</v>
      </c>
    </row>
    <row r="92" spans="2:11" s="6" customFormat="1" ht="12">
      <c r="B92" s="192" t="s">
        <v>188</v>
      </c>
      <c r="C92" s="7" t="s">
        <v>878</v>
      </c>
      <c r="D92" s="67" t="s">
        <v>863</v>
      </c>
      <c r="E92" s="67" t="s">
        <v>301</v>
      </c>
      <c r="F92" s="50">
        <v>6.8000000000000005E-2</v>
      </c>
      <c r="G92" s="50">
        <f t="shared" si="3"/>
        <v>4.4000000000000004E-2</v>
      </c>
      <c r="H92" s="8">
        <v>20000</v>
      </c>
      <c r="I92" s="19"/>
      <c r="J92" s="19">
        <v>6</v>
      </c>
      <c r="K92" s="18" t="s">
        <v>530</v>
      </c>
    </row>
    <row r="93" spans="2:11" s="6" customFormat="1" ht="12">
      <c r="B93" s="192" t="s">
        <v>260</v>
      </c>
      <c r="C93" s="7" t="s">
        <v>851</v>
      </c>
      <c r="D93" s="67"/>
      <c r="E93" s="67"/>
      <c r="F93" s="50">
        <v>8.1000000000000003E-2</v>
      </c>
      <c r="G93" s="50">
        <f t="shared" si="3"/>
        <v>5.7000000000000002E-2</v>
      </c>
      <c r="H93" s="8">
        <v>10000</v>
      </c>
      <c r="I93" s="19"/>
      <c r="J93" s="19">
        <v>6</v>
      </c>
      <c r="K93" s="18" t="s">
        <v>530</v>
      </c>
    </row>
    <row r="94" spans="2:11" s="6" customFormat="1" ht="12">
      <c r="B94" s="192" t="s">
        <v>261</v>
      </c>
      <c r="C94" s="7" t="s">
        <v>850</v>
      </c>
      <c r="D94" s="67" t="s">
        <v>259</v>
      </c>
      <c r="E94" s="67"/>
      <c r="F94" s="50">
        <v>7.8E-2</v>
      </c>
      <c r="G94" s="50">
        <f t="shared" si="3"/>
        <v>5.3999999999999999E-2</v>
      </c>
      <c r="H94" s="8">
        <v>12000</v>
      </c>
      <c r="I94" s="19">
        <v>6</v>
      </c>
      <c r="J94" s="19">
        <v>6</v>
      </c>
      <c r="K94" s="18" t="s">
        <v>530</v>
      </c>
    </row>
    <row r="95" spans="2:11" s="6" customFormat="1" ht="12">
      <c r="B95" s="192" t="s">
        <v>138</v>
      </c>
      <c r="C95" s="7" t="s">
        <v>679</v>
      </c>
      <c r="D95" s="68" t="s">
        <v>229</v>
      </c>
      <c r="E95" s="68"/>
      <c r="F95" s="59" t="s">
        <v>337</v>
      </c>
      <c r="G95" s="50">
        <v>7.3999999999999996E-2</v>
      </c>
      <c r="H95" s="8">
        <v>10000</v>
      </c>
      <c r="I95" s="19"/>
      <c r="J95" s="19">
        <v>5</v>
      </c>
      <c r="K95" s="139" t="s">
        <v>141</v>
      </c>
    </row>
    <row r="96" spans="2:11" s="6" customFormat="1" ht="12">
      <c r="B96" s="192" t="s">
        <v>118</v>
      </c>
      <c r="C96" s="7" t="s">
        <v>678</v>
      </c>
      <c r="D96" s="68" t="s">
        <v>229</v>
      </c>
      <c r="E96" s="67" t="s">
        <v>301</v>
      </c>
      <c r="F96" s="59" t="s">
        <v>337</v>
      </c>
      <c r="G96" s="50">
        <v>5.2999999999999999E-2</v>
      </c>
      <c r="H96" s="8">
        <v>10000</v>
      </c>
      <c r="I96" s="19">
        <v>1</v>
      </c>
      <c r="J96" s="19">
        <v>5</v>
      </c>
      <c r="K96" s="139" t="s">
        <v>141</v>
      </c>
    </row>
    <row r="97" spans="2:11" s="6" customFormat="1" ht="12">
      <c r="B97" s="192" t="s">
        <v>119</v>
      </c>
      <c r="C97" s="7" t="s">
        <v>139</v>
      </c>
      <c r="D97" s="68" t="s">
        <v>230</v>
      </c>
      <c r="E97" s="68"/>
      <c r="F97" s="59" t="s">
        <v>337</v>
      </c>
      <c r="G97" s="50">
        <v>6.6000000000000003E-2</v>
      </c>
      <c r="H97" s="8">
        <v>10000</v>
      </c>
      <c r="I97" s="19"/>
      <c r="J97" s="19" t="s">
        <v>142</v>
      </c>
      <c r="K97" s="139" t="s">
        <v>141</v>
      </c>
    </row>
    <row r="98" spans="2:11" s="6" customFormat="1" ht="12">
      <c r="B98" s="192" t="s">
        <v>140</v>
      </c>
      <c r="C98" s="7" t="s">
        <v>358</v>
      </c>
      <c r="D98" s="68" t="s">
        <v>231</v>
      </c>
      <c r="E98" s="68"/>
      <c r="F98" s="59" t="s">
        <v>337</v>
      </c>
      <c r="G98" s="50">
        <v>7.3999999999999996E-2</v>
      </c>
      <c r="H98" s="8">
        <v>10000</v>
      </c>
      <c r="I98" s="19"/>
      <c r="J98" s="19">
        <v>6</v>
      </c>
      <c r="K98" s="139" t="s">
        <v>141</v>
      </c>
    </row>
    <row r="99" spans="2:11" s="6" customFormat="1" ht="12">
      <c r="B99" s="192" t="s">
        <v>288</v>
      </c>
      <c r="C99" s="7" t="s">
        <v>849</v>
      </c>
      <c r="D99" s="90"/>
      <c r="E99" s="68"/>
      <c r="F99" s="50">
        <v>6.6000000000000003E-2</v>
      </c>
      <c r="G99" s="50">
        <f>F99-0.024</f>
        <v>4.2000000000000003E-2</v>
      </c>
      <c r="H99" s="8">
        <v>10000</v>
      </c>
      <c r="I99" s="19">
        <v>12</v>
      </c>
      <c r="J99" s="19">
        <v>5</v>
      </c>
      <c r="K99" s="18" t="s">
        <v>530</v>
      </c>
    </row>
    <row r="100" spans="2:11" s="6" customFormat="1" ht="12">
      <c r="B100" s="192" t="s">
        <v>313</v>
      </c>
      <c r="C100" s="191" t="s">
        <v>848</v>
      </c>
      <c r="D100" s="90"/>
      <c r="E100" s="144" t="s">
        <v>301</v>
      </c>
      <c r="F100" s="50">
        <v>6.6000000000000003E-2</v>
      </c>
      <c r="G100" s="50">
        <f t="shared" ref="G100:G109" si="4">F100-0.024</f>
        <v>4.2000000000000003E-2</v>
      </c>
      <c r="H100" s="8">
        <v>10000</v>
      </c>
      <c r="I100" s="19">
        <v>18</v>
      </c>
      <c r="J100" s="19"/>
      <c r="K100" s="18" t="s">
        <v>530</v>
      </c>
    </row>
    <row r="101" spans="2:11" s="6" customFormat="1" ht="12">
      <c r="B101" s="192" t="s">
        <v>334</v>
      </c>
      <c r="C101" s="191" t="s">
        <v>847</v>
      </c>
      <c r="D101" s="90"/>
      <c r="E101" s="144" t="s">
        <v>301</v>
      </c>
      <c r="F101" s="50">
        <v>7.5999999999999998E-2</v>
      </c>
      <c r="G101" s="50">
        <f t="shared" si="4"/>
        <v>5.1999999999999998E-2</v>
      </c>
      <c r="H101" s="8">
        <v>10000</v>
      </c>
      <c r="I101" s="19"/>
      <c r="J101" s="19">
        <v>6</v>
      </c>
      <c r="K101" s="18" t="s">
        <v>530</v>
      </c>
    </row>
    <row r="102" spans="2:11" s="6" customFormat="1" ht="12">
      <c r="B102" s="192" t="s">
        <v>335</v>
      </c>
      <c r="C102" s="191" t="s">
        <v>336</v>
      </c>
      <c r="D102" s="67" t="s">
        <v>344</v>
      </c>
      <c r="E102" s="144" t="s">
        <v>301</v>
      </c>
      <c r="F102" s="50">
        <v>5.2999999999999999E-2</v>
      </c>
      <c r="G102" s="50">
        <f t="shared" si="4"/>
        <v>2.8999999999999998E-2</v>
      </c>
      <c r="H102" s="8">
        <v>20000</v>
      </c>
      <c r="I102" s="19"/>
      <c r="J102" s="19" t="s">
        <v>107</v>
      </c>
      <c r="K102" s="139" t="s">
        <v>374</v>
      </c>
    </row>
    <row r="103" spans="2:11" s="6" customFormat="1" ht="12">
      <c r="B103" s="192" t="s">
        <v>355</v>
      </c>
      <c r="C103" s="191" t="s">
        <v>846</v>
      </c>
      <c r="D103" s="67"/>
      <c r="E103" s="144" t="s">
        <v>301</v>
      </c>
      <c r="F103" s="50">
        <v>5.7000000000000002E-2</v>
      </c>
      <c r="G103" s="50">
        <f t="shared" si="4"/>
        <v>3.3000000000000002E-2</v>
      </c>
      <c r="H103" s="8">
        <v>20000</v>
      </c>
      <c r="I103" s="19">
        <v>14</v>
      </c>
      <c r="J103" s="19">
        <v>6</v>
      </c>
      <c r="K103" s="139" t="s">
        <v>374</v>
      </c>
    </row>
    <row r="104" spans="2:11" s="6" customFormat="1" ht="12">
      <c r="B104" s="192" t="s">
        <v>356</v>
      </c>
      <c r="C104" s="191" t="s">
        <v>845</v>
      </c>
      <c r="D104" s="67"/>
      <c r="E104" s="144"/>
      <c r="F104" s="50">
        <v>5.7000000000000002E-2</v>
      </c>
      <c r="G104" s="50">
        <f t="shared" si="4"/>
        <v>3.3000000000000002E-2</v>
      </c>
      <c r="H104" s="8">
        <v>20000</v>
      </c>
      <c r="I104" s="19" t="s">
        <v>107</v>
      </c>
      <c r="J104" s="19"/>
      <c r="K104" s="139" t="s">
        <v>374</v>
      </c>
    </row>
    <row r="105" spans="2:11" s="6" customFormat="1" ht="12">
      <c r="B105" s="260" t="s">
        <v>674</v>
      </c>
      <c r="C105" s="252" t="s">
        <v>675</v>
      </c>
      <c r="D105" s="253"/>
      <c r="E105" s="253"/>
      <c r="F105" s="254">
        <v>7.8E-2</v>
      </c>
      <c r="G105" s="50">
        <f t="shared" si="4"/>
        <v>5.3999999999999999E-2</v>
      </c>
      <c r="H105" s="255">
        <v>20000</v>
      </c>
      <c r="I105" s="256">
        <v>8</v>
      </c>
      <c r="J105" s="256" t="s">
        <v>107</v>
      </c>
      <c r="K105" s="18" t="s">
        <v>530</v>
      </c>
    </row>
    <row r="106" spans="2:11" s="6" customFormat="1" ht="12">
      <c r="B106" s="260" t="s">
        <v>940</v>
      </c>
      <c r="C106" s="252" t="s">
        <v>941</v>
      </c>
      <c r="D106" s="253" t="s">
        <v>942</v>
      </c>
      <c r="E106" s="253"/>
      <c r="F106" s="254">
        <v>5.7000000000000002E-2</v>
      </c>
      <c r="G106" s="50">
        <f t="shared" si="4"/>
        <v>3.3000000000000002E-2</v>
      </c>
      <c r="H106" s="255">
        <v>30000</v>
      </c>
      <c r="I106" s="256" t="s">
        <v>943</v>
      </c>
      <c r="J106" s="256"/>
      <c r="K106" s="18" t="s">
        <v>530</v>
      </c>
    </row>
    <row r="107" spans="2:11" s="6" customFormat="1" ht="12">
      <c r="B107" s="192" t="s">
        <v>125</v>
      </c>
      <c r="C107" s="7" t="s">
        <v>862</v>
      </c>
      <c r="D107" s="67"/>
      <c r="E107" s="67" t="s">
        <v>301</v>
      </c>
      <c r="F107" s="50">
        <v>7.8E-2</v>
      </c>
      <c r="G107" s="50">
        <f t="shared" si="4"/>
        <v>5.3999999999999999E-2</v>
      </c>
      <c r="H107" s="8">
        <v>20000</v>
      </c>
      <c r="I107" s="19">
        <v>12</v>
      </c>
      <c r="J107" s="19" t="s">
        <v>107</v>
      </c>
      <c r="K107" s="18" t="s">
        <v>530</v>
      </c>
    </row>
    <row r="108" spans="2:11" s="6" customFormat="1" ht="12">
      <c r="B108" s="192" t="s">
        <v>394</v>
      </c>
      <c r="C108" s="7" t="s">
        <v>395</v>
      </c>
      <c r="D108" s="67"/>
      <c r="E108" s="67" t="s">
        <v>301</v>
      </c>
      <c r="F108" s="50">
        <v>6.8000000000000005E-2</v>
      </c>
      <c r="G108" s="50">
        <f t="shared" si="4"/>
        <v>4.4000000000000004E-2</v>
      </c>
      <c r="H108" s="8">
        <v>100000</v>
      </c>
      <c r="I108" s="19" t="s">
        <v>107</v>
      </c>
      <c r="J108" s="19" t="s">
        <v>396</v>
      </c>
      <c r="K108" s="18" t="s">
        <v>530</v>
      </c>
    </row>
    <row r="109" spans="2:11" s="6" customFormat="1" ht="12">
      <c r="B109" s="192" t="s">
        <v>435</v>
      </c>
      <c r="C109" s="7" t="s">
        <v>436</v>
      </c>
      <c r="D109" s="67"/>
      <c r="E109" s="67" t="s">
        <v>301</v>
      </c>
      <c r="F109" s="50">
        <v>7.9000000000000001E-2</v>
      </c>
      <c r="G109" s="50">
        <f t="shared" si="4"/>
        <v>5.5E-2</v>
      </c>
      <c r="H109" s="8">
        <v>10000</v>
      </c>
      <c r="I109" s="19" t="s">
        <v>437</v>
      </c>
      <c r="J109" s="19"/>
      <c r="K109" s="18" t="s">
        <v>530</v>
      </c>
    </row>
    <row r="110" spans="2:11" s="6" customFormat="1" ht="12">
      <c r="B110" s="16"/>
      <c r="C110" s="7"/>
      <c r="D110" s="67"/>
      <c r="E110" s="67"/>
      <c r="F110" s="55"/>
      <c r="G110" s="55"/>
      <c r="H110" s="8"/>
      <c r="I110" s="19"/>
      <c r="J110" s="19"/>
      <c r="K110" s="18"/>
    </row>
    <row r="111" spans="2:11" s="6" customFormat="1">
      <c r="B111" s="326" t="s">
        <v>1262</v>
      </c>
      <c r="C111" s="327"/>
      <c r="D111" s="327"/>
      <c r="E111" s="327"/>
      <c r="F111" s="327"/>
      <c r="G111" s="327"/>
      <c r="H111" s="327"/>
      <c r="I111" s="327"/>
      <c r="J111" s="327"/>
      <c r="K111" s="328"/>
    </row>
    <row r="112" spans="2:11" s="6" customFormat="1" ht="12.6" thickBot="1">
      <c r="B112" s="17"/>
      <c r="C112" s="9"/>
      <c r="D112" s="69"/>
      <c r="E112" s="69"/>
      <c r="F112" s="53"/>
      <c r="G112" s="53"/>
      <c r="H112" s="9"/>
      <c r="I112" s="9"/>
      <c r="J112" s="9"/>
      <c r="K112" s="10"/>
    </row>
    <row r="113" spans="2:11" s="71" customFormat="1" ht="13.5" customHeight="1">
      <c r="B113" s="164" t="s">
        <v>1288</v>
      </c>
      <c r="C113" s="72"/>
      <c r="D113" s="73"/>
      <c r="E113" s="73"/>
      <c r="F113" s="74"/>
      <c r="G113" s="74"/>
      <c r="H113" s="72"/>
      <c r="I113" s="72"/>
      <c r="J113" s="72"/>
      <c r="K113" s="75"/>
    </row>
    <row r="114" spans="2:11" s="6" customFormat="1" ht="12.6" thickBot="1">
      <c r="B114" s="170" t="s">
        <v>3</v>
      </c>
      <c r="C114" s="171" t="s">
        <v>4</v>
      </c>
      <c r="D114" s="172" t="s">
        <v>5</v>
      </c>
      <c r="E114" s="172" t="s">
        <v>302</v>
      </c>
      <c r="F114" s="331" t="s">
        <v>80</v>
      </c>
      <c r="G114" s="332"/>
      <c r="H114" s="173" t="s">
        <v>6</v>
      </c>
      <c r="I114" s="337" t="s">
        <v>7</v>
      </c>
      <c r="J114" s="338"/>
      <c r="K114" s="155" t="s">
        <v>329</v>
      </c>
    </row>
    <row r="115" spans="2:11">
      <c r="B115" s="156"/>
      <c r="C115" s="157"/>
      <c r="D115" s="158"/>
      <c r="E115" s="158"/>
      <c r="F115" s="159" t="s">
        <v>361</v>
      </c>
      <c r="G115" s="160" t="s">
        <v>82</v>
      </c>
      <c r="H115" s="161" t="s">
        <v>2</v>
      </c>
      <c r="I115" s="162" t="s">
        <v>0</v>
      </c>
      <c r="J115" s="162" t="s">
        <v>1</v>
      </c>
      <c r="K115" s="163"/>
    </row>
    <row r="116" spans="2:11" s="6" customFormat="1" ht="12">
      <c r="B116" s="260">
        <v>255022</v>
      </c>
      <c r="C116" s="252" t="s">
        <v>1307</v>
      </c>
      <c r="D116" s="273"/>
      <c r="E116" s="253"/>
      <c r="F116" s="254">
        <v>0.115</v>
      </c>
      <c r="G116" s="254">
        <f>F116-0.04</f>
        <v>7.5000000000000011E-2</v>
      </c>
      <c r="H116" s="264">
        <v>6000</v>
      </c>
      <c r="I116" s="256"/>
      <c r="J116" s="256">
        <v>6</v>
      </c>
      <c r="K116" s="182" t="s">
        <v>643</v>
      </c>
    </row>
    <row r="117" spans="2:11" s="6" customFormat="1" ht="12">
      <c r="B117" s="260">
        <v>255021</v>
      </c>
      <c r="C117" s="252" t="s">
        <v>1305</v>
      </c>
      <c r="D117" s="273"/>
      <c r="E117" s="253"/>
      <c r="F117" s="254">
        <v>0.18</v>
      </c>
      <c r="G117" s="254">
        <f>F117-0.04</f>
        <v>0.13999999999999999</v>
      </c>
      <c r="H117" s="264">
        <v>6000</v>
      </c>
      <c r="I117" s="256">
        <v>12</v>
      </c>
      <c r="J117" s="256"/>
      <c r="K117" s="182" t="s">
        <v>643</v>
      </c>
    </row>
    <row r="118" spans="2:11" s="6" customFormat="1" ht="12">
      <c r="B118" s="260">
        <v>255020</v>
      </c>
      <c r="C118" s="252" t="s">
        <v>1302</v>
      </c>
      <c r="D118" s="273"/>
      <c r="E118" s="253" t="s">
        <v>1303</v>
      </c>
      <c r="F118" s="254">
        <v>0.106</v>
      </c>
      <c r="G118" s="254">
        <f t="shared" ref="G118" si="5">F118-0.04</f>
        <v>6.6000000000000003E-2</v>
      </c>
      <c r="H118" s="264">
        <v>5000</v>
      </c>
      <c r="I118" s="256">
        <v>10</v>
      </c>
      <c r="J118" s="256"/>
      <c r="K118" s="182" t="s">
        <v>643</v>
      </c>
    </row>
    <row r="119" spans="2:11" s="6" customFormat="1" ht="12">
      <c r="B119" s="260">
        <v>255019</v>
      </c>
      <c r="C119" s="252" t="s">
        <v>1301</v>
      </c>
      <c r="D119" s="273"/>
      <c r="E119" s="253"/>
      <c r="F119" s="254">
        <v>0.23899999999999999</v>
      </c>
      <c r="G119" s="254">
        <f t="shared" ref="G119" si="6">F119-0.04</f>
        <v>0.19899999999999998</v>
      </c>
      <c r="H119" s="264">
        <v>3000</v>
      </c>
      <c r="I119" s="256">
        <v>12</v>
      </c>
      <c r="J119" s="256"/>
      <c r="K119" s="182" t="s">
        <v>643</v>
      </c>
    </row>
    <row r="120" spans="2:11" s="6" customFormat="1" ht="12">
      <c r="B120" s="260">
        <v>255018</v>
      </c>
      <c r="C120" s="252" t="s">
        <v>1300</v>
      </c>
      <c r="D120" s="273"/>
      <c r="E120" s="253"/>
      <c r="F120" s="254">
        <v>0.18</v>
      </c>
      <c r="G120" s="254">
        <f t="shared" ref="G120:G122" si="7">F120-0.04</f>
        <v>0.13999999999999999</v>
      </c>
      <c r="H120" s="264">
        <v>3000</v>
      </c>
      <c r="I120" s="256">
        <v>6</v>
      </c>
      <c r="J120" s="256"/>
      <c r="K120" s="182" t="s">
        <v>643</v>
      </c>
    </row>
    <row r="121" spans="2:11" s="6" customFormat="1" ht="12">
      <c r="B121" s="260">
        <v>255017</v>
      </c>
      <c r="C121" s="252" t="s">
        <v>1299</v>
      </c>
      <c r="D121" s="273"/>
      <c r="E121" s="253"/>
      <c r="F121" s="254">
        <v>0.16900000000000001</v>
      </c>
      <c r="G121" s="254">
        <f t="shared" si="7"/>
        <v>0.129</v>
      </c>
      <c r="H121" s="264">
        <v>3000</v>
      </c>
      <c r="I121" s="256">
        <v>6</v>
      </c>
      <c r="J121" s="256"/>
      <c r="K121" s="189" t="s">
        <v>518</v>
      </c>
    </row>
    <row r="122" spans="2:11" s="6" customFormat="1" ht="12">
      <c r="B122" s="260">
        <v>255016</v>
      </c>
      <c r="C122" s="252" t="s">
        <v>1298</v>
      </c>
      <c r="D122" s="273"/>
      <c r="E122" s="253" t="s">
        <v>1303</v>
      </c>
      <c r="F122" s="254">
        <v>0.106</v>
      </c>
      <c r="G122" s="254">
        <f t="shared" si="7"/>
        <v>6.6000000000000003E-2</v>
      </c>
      <c r="H122" s="264">
        <v>5000</v>
      </c>
      <c r="I122" s="256">
        <v>10</v>
      </c>
      <c r="J122" s="256"/>
      <c r="K122" s="189" t="s">
        <v>518</v>
      </c>
    </row>
    <row r="123" spans="2:11" s="6" customFormat="1" ht="12">
      <c r="B123" s="260">
        <v>255015</v>
      </c>
      <c r="C123" s="252" t="s">
        <v>1293</v>
      </c>
      <c r="D123" s="273" t="s">
        <v>1294</v>
      </c>
      <c r="E123" s="253" t="s">
        <v>631</v>
      </c>
      <c r="F123" s="254">
        <v>0.21199999999999999</v>
      </c>
      <c r="G123" s="254">
        <f t="shared" ref="G123" si="8">F123-0.04</f>
        <v>0.17199999999999999</v>
      </c>
      <c r="H123" s="264">
        <v>7000</v>
      </c>
      <c r="I123" s="256">
        <v>14</v>
      </c>
      <c r="J123" s="256"/>
      <c r="K123" s="189" t="s">
        <v>518</v>
      </c>
    </row>
    <row r="124" spans="2:11" s="6" customFormat="1" ht="12">
      <c r="B124" s="260">
        <v>255014</v>
      </c>
      <c r="C124" s="252" t="s">
        <v>1263</v>
      </c>
      <c r="D124" s="273" t="s">
        <v>1264</v>
      </c>
      <c r="E124" s="253"/>
      <c r="F124" s="254">
        <v>9.5000000000000001E-2</v>
      </c>
      <c r="G124" s="50">
        <f t="shared" ref="G124:G126" si="9">F124-0.04</f>
        <v>5.5E-2</v>
      </c>
      <c r="H124" s="264">
        <v>10000</v>
      </c>
      <c r="I124" s="256">
        <v>4</v>
      </c>
      <c r="J124" s="256">
        <v>5</v>
      </c>
      <c r="K124" s="182" t="s">
        <v>643</v>
      </c>
    </row>
    <row r="125" spans="2:11" s="6" customFormat="1" ht="12">
      <c r="B125" s="260">
        <v>255013</v>
      </c>
      <c r="C125" s="252" t="s">
        <v>1256</v>
      </c>
      <c r="D125" s="273"/>
      <c r="E125" s="253"/>
      <c r="F125" s="254">
        <v>0.22</v>
      </c>
      <c r="G125" s="50">
        <f t="shared" si="9"/>
        <v>0.18</v>
      </c>
      <c r="H125" s="264">
        <v>6000</v>
      </c>
      <c r="I125" s="256">
        <v>24</v>
      </c>
      <c r="J125" s="256"/>
      <c r="K125" s="182" t="s">
        <v>643</v>
      </c>
    </row>
    <row r="126" spans="2:11" s="6" customFormat="1" ht="12">
      <c r="B126" s="260">
        <v>255012</v>
      </c>
      <c r="C126" s="252" t="s">
        <v>983</v>
      </c>
      <c r="D126" s="273"/>
      <c r="E126" s="253"/>
      <c r="F126" s="254">
        <v>0.254</v>
      </c>
      <c r="G126" s="50">
        <f t="shared" si="9"/>
        <v>0.214</v>
      </c>
      <c r="H126" s="264">
        <v>6000</v>
      </c>
      <c r="I126" s="256"/>
      <c r="J126" s="256">
        <v>6</v>
      </c>
      <c r="K126" s="182" t="s">
        <v>643</v>
      </c>
    </row>
    <row r="127" spans="2:11" s="6" customFormat="1" ht="12">
      <c r="B127" s="260">
        <v>255011</v>
      </c>
      <c r="C127" s="252" t="s">
        <v>982</v>
      </c>
      <c r="D127" s="273"/>
      <c r="E127" s="253"/>
      <c r="F127" s="254">
        <v>0.14799999999999999</v>
      </c>
      <c r="G127" s="50"/>
      <c r="H127" s="264">
        <v>5000</v>
      </c>
      <c r="I127" s="256">
        <v>5</v>
      </c>
      <c r="J127" s="256"/>
      <c r="K127" s="189" t="s">
        <v>518</v>
      </c>
    </row>
    <row r="128" spans="2:11" s="6" customFormat="1" ht="12">
      <c r="B128" s="260">
        <v>255010</v>
      </c>
      <c r="C128" s="252" t="s">
        <v>981</v>
      </c>
      <c r="D128" s="273"/>
      <c r="E128" s="253"/>
      <c r="F128" s="254">
        <v>0.14399999999999999</v>
      </c>
      <c r="G128" s="50"/>
      <c r="H128" s="264">
        <v>6000</v>
      </c>
      <c r="I128" s="256">
        <v>6</v>
      </c>
      <c r="J128" s="256"/>
      <c r="K128" s="189" t="s">
        <v>518</v>
      </c>
    </row>
    <row r="129" spans="2:11" s="6" customFormat="1" ht="12">
      <c r="B129" s="260">
        <v>255009</v>
      </c>
      <c r="C129" s="252" t="s">
        <v>974</v>
      </c>
      <c r="D129" s="273" t="s">
        <v>977</v>
      </c>
      <c r="E129" s="253" t="s">
        <v>631</v>
      </c>
      <c r="F129" s="254">
        <v>0.21199999999999999</v>
      </c>
      <c r="G129" s="50">
        <f t="shared" ref="G129:G131" si="10">F129-0.04</f>
        <v>0.17199999999999999</v>
      </c>
      <c r="H129" s="264">
        <v>8000</v>
      </c>
      <c r="I129" s="256">
        <v>16</v>
      </c>
      <c r="J129" s="256"/>
      <c r="K129" s="182" t="s">
        <v>643</v>
      </c>
    </row>
    <row r="130" spans="2:11" s="6" customFormat="1" ht="12">
      <c r="B130" s="260">
        <v>255008</v>
      </c>
      <c r="C130" s="252" t="s">
        <v>975</v>
      </c>
      <c r="D130" s="280"/>
      <c r="E130" s="253"/>
      <c r="F130" s="254">
        <v>0.21199999999999999</v>
      </c>
      <c r="G130" s="50">
        <f t="shared" si="10"/>
        <v>0.17199999999999999</v>
      </c>
      <c r="H130" s="264">
        <v>6000</v>
      </c>
      <c r="I130" s="256">
        <v>12</v>
      </c>
      <c r="J130" s="256"/>
      <c r="K130" s="182" t="s">
        <v>643</v>
      </c>
    </row>
    <row r="131" spans="2:11" s="6" customFormat="1" ht="12">
      <c r="B131" s="260">
        <v>255007</v>
      </c>
      <c r="C131" s="252" t="s">
        <v>976</v>
      </c>
      <c r="D131" s="273" t="s">
        <v>953</v>
      </c>
      <c r="E131" s="253"/>
      <c r="F131" s="254">
        <v>0.19700000000000001</v>
      </c>
      <c r="G131" s="50">
        <f t="shared" si="10"/>
        <v>0.157</v>
      </c>
      <c r="H131" s="264">
        <v>4000</v>
      </c>
      <c r="I131" s="256"/>
      <c r="J131" s="256">
        <v>4</v>
      </c>
      <c r="K131" s="182" t="s">
        <v>643</v>
      </c>
    </row>
    <row r="132" spans="2:11" s="6" customFormat="1" ht="12">
      <c r="B132" s="260">
        <v>255006</v>
      </c>
      <c r="C132" s="252" t="s">
        <v>951</v>
      </c>
      <c r="D132" s="280"/>
      <c r="E132" s="253"/>
      <c r="F132" s="254">
        <v>0.18</v>
      </c>
      <c r="G132" s="50">
        <f t="shared" ref="G132:G137" si="11">F132-0.04</f>
        <v>0.13999999999999999</v>
      </c>
      <c r="H132" s="8">
        <v>5000</v>
      </c>
      <c r="I132" s="19">
        <v>9</v>
      </c>
      <c r="J132" s="19"/>
      <c r="K132" s="189" t="s">
        <v>518</v>
      </c>
    </row>
    <row r="133" spans="2:11" s="6" customFormat="1" ht="12">
      <c r="B133" s="260">
        <v>255005</v>
      </c>
      <c r="C133" s="252" t="s">
        <v>952</v>
      </c>
      <c r="D133" s="273" t="s">
        <v>953</v>
      </c>
      <c r="E133" s="253"/>
      <c r="F133" s="254">
        <v>0.218</v>
      </c>
      <c r="G133" s="50">
        <f t="shared" si="11"/>
        <v>0.17799999999999999</v>
      </c>
      <c r="H133" s="8">
        <v>3000</v>
      </c>
      <c r="I133" s="19"/>
      <c r="J133" s="19">
        <v>6</v>
      </c>
      <c r="K133" s="182" t="s">
        <v>643</v>
      </c>
    </row>
    <row r="134" spans="2:11" s="6" customFormat="1" ht="12">
      <c r="B134" s="260">
        <v>255004</v>
      </c>
      <c r="C134" s="252" t="s">
        <v>954</v>
      </c>
      <c r="D134" s="272"/>
      <c r="E134" s="253"/>
      <c r="F134" s="254">
        <v>0.11600000000000001</v>
      </c>
      <c r="G134" s="50">
        <f t="shared" si="11"/>
        <v>7.6000000000000012E-2</v>
      </c>
      <c r="H134" s="8">
        <v>4000</v>
      </c>
      <c r="I134" s="19"/>
      <c r="J134" s="19">
        <v>4</v>
      </c>
      <c r="K134" s="189" t="s">
        <v>518</v>
      </c>
    </row>
    <row r="135" spans="2:11" s="6" customFormat="1" ht="12">
      <c r="B135" s="260">
        <v>255003</v>
      </c>
      <c r="C135" s="252" t="s">
        <v>955</v>
      </c>
      <c r="D135" s="272"/>
      <c r="E135" s="253"/>
      <c r="F135" s="254">
        <v>0.18</v>
      </c>
      <c r="G135" s="50"/>
      <c r="H135" s="8">
        <v>3000</v>
      </c>
      <c r="I135" s="19">
        <v>8</v>
      </c>
      <c r="J135" s="19"/>
      <c r="K135" s="182" t="s">
        <v>643</v>
      </c>
    </row>
    <row r="136" spans="2:11" s="6" customFormat="1" ht="12">
      <c r="B136" s="260">
        <v>255002</v>
      </c>
      <c r="C136" s="252" t="s">
        <v>978</v>
      </c>
      <c r="D136" s="272"/>
      <c r="E136" s="253"/>
      <c r="F136" s="254">
        <v>0.18</v>
      </c>
      <c r="G136" s="50">
        <f t="shared" si="11"/>
        <v>0.13999999999999999</v>
      </c>
      <c r="H136" s="8">
        <v>4000</v>
      </c>
      <c r="I136" s="19">
        <v>8</v>
      </c>
      <c r="J136" s="19"/>
      <c r="K136" s="182" t="s">
        <v>643</v>
      </c>
    </row>
    <row r="137" spans="2:11" s="6" customFormat="1" ht="12">
      <c r="B137" s="260">
        <v>255001</v>
      </c>
      <c r="C137" s="252" t="s">
        <v>956</v>
      </c>
      <c r="D137" s="272"/>
      <c r="E137" s="253" t="s">
        <v>631</v>
      </c>
      <c r="F137" s="254">
        <v>0.23300000000000001</v>
      </c>
      <c r="G137" s="50">
        <f t="shared" si="11"/>
        <v>0.193</v>
      </c>
      <c r="H137" s="8">
        <v>4000</v>
      </c>
      <c r="I137" s="19"/>
      <c r="J137" s="19"/>
      <c r="K137" s="182" t="s">
        <v>643</v>
      </c>
    </row>
    <row r="138" spans="2:11" s="6" customFormat="1" ht="12">
      <c r="B138" s="192">
        <v>245038</v>
      </c>
      <c r="C138" s="7" t="s">
        <v>895</v>
      </c>
      <c r="D138" s="68"/>
      <c r="E138" s="67"/>
      <c r="F138" s="50">
        <v>0.307</v>
      </c>
      <c r="G138" s="50">
        <f t="shared" ref="G138:G143" si="12">F138-0.04</f>
        <v>0.26700000000000002</v>
      </c>
      <c r="H138" s="262">
        <v>3000</v>
      </c>
      <c r="I138" s="19">
        <v>12</v>
      </c>
      <c r="J138" s="19"/>
      <c r="K138" s="110" t="s">
        <v>642</v>
      </c>
    </row>
    <row r="139" spans="2:11" s="6" customFormat="1" ht="12">
      <c r="B139" s="192">
        <v>245037</v>
      </c>
      <c r="C139" s="7" t="s">
        <v>894</v>
      </c>
      <c r="D139" s="68"/>
      <c r="E139" s="67"/>
      <c r="F139" s="50">
        <v>0.307</v>
      </c>
      <c r="G139" s="50">
        <f t="shared" si="12"/>
        <v>0.26700000000000002</v>
      </c>
      <c r="H139" s="262">
        <v>3000</v>
      </c>
      <c r="I139" s="19">
        <v>12</v>
      </c>
      <c r="J139" s="19"/>
      <c r="K139" s="143" t="s">
        <v>643</v>
      </c>
    </row>
    <row r="140" spans="2:11" s="6" customFormat="1" ht="12">
      <c r="B140" s="192">
        <v>245036</v>
      </c>
      <c r="C140" s="7" t="s">
        <v>893</v>
      </c>
      <c r="D140" s="144" t="s">
        <v>899</v>
      </c>
      <c r="E140" s="67"/>
      <c r="F140" s="50">
        <v>0.11600000000000001</v>
      </c>
      <c r="G140" s="50">
        <f t="shared" si="12"/>
        <v>7.6000000000000012E-2</v>
      </c>
      <c r="H140" s="262">
        <v>6000</v>
      </c>
      <c r="I140" s="19">
        <v>6</v>
      </c>
      <c r="J140" s="19"/>
      <c r="K140" s="143" t="s">
        <v>643</v>
      </c>
    </row>
    <row r="141" spans="2:11" s="6" customFormat="1" ht="12">
      <c r="B141" s="192">
        <v>245035</v>
      </c>
      <c r="C141" s="7" t="s">
        <v>892</v>
      </c>
      <c r="D141" s="144" t="s">
        <v>896</v>
      </c>
      <c r="E141" s="67" t="s">
        <v>631</v>
      </c>
      <c r="F141" s="50">
        <v>0.19</v>
      </c>
      <c r="G141" s="50">
        <f t="shared" si="12"/>
        <v>0.15</v>
      </c>
      <c r="H141" s="262">
        <v>4000</v>
      </c>
      <c r="I141" s="19">
        <v>16</v>
      </c>
      <c r="J141" s="19">
        <v>5</v>
      </c>
      <c r="K141" s="143" t="s">
        <v>643</v>
      </c>
    </row>
    <row r="142" spans="2:11" s="6" customFormat="1" ht="12">
      <c r="B142" s="192">
        <v>245034</v>
      </c>
      <c r="C142" s="7" t="s">
        <v>891</v>
      </c>
      <c r="D142" s="144" t="s">
        <v>898</v>
      </c>
      <c r="E142" s="67"/>
      <c r="F142" s="50">
        <v>0.127</v>
      </c>
      <c r="G142" s="50">
        <f t="shared" si="12"/>
        <v>8.6999999999999994E-2</v>
      </c>
      <c r="H142" s="262">
        <v>6000</v>
      </c>
      <c r="I142" s="19" t="s">
        <v>720</v>
      </c>
      <c r="J142" s="19"/>
      <c r="K142" s="143" t="s">
        <v>643</v>
      </c>
    </row>
    <row r="143" spans="2:11" s="6" customFormat="1" ht="12">
      <c r="B143" s="192">
        <v>245033</v>
      </c>
      <c r="C143" s="7" t="s">
        <v>890</v>
      </c>
      <c r="D143" s="144" t="s">
        <v>897</v>
      </c>
      <c r="E143" s="67"/>
      <c r="F143" s="50">
        <v>0.11899999999999999</v>
      </c>
      <c r="G143" s="50">
        <f t="shared" si="12"/>
        <v>7.8999999999999987E-2</v>
      </c>
      <c r="H143" s="262">
        <v>6000</v>
      </c>
      <c r="I143" s="19" t="s">
        <v>107</v>
      </c>
      <c r="J143" s="19"/>
      <c r="K143" s="143" t="s">
        <v>643</v>
      </c>
    </row>
    <row r="144" spans="2:11" s="6" customFormat="1" ht="12">
      <c r="B144" s="192">
        <v>245032</v>
      </c>
      <c r="C144" s="7" t="s">
        <v>887</v>
      </c>
      <c r="D144" s="68"/>
      <c r="E144" s="67"/>
      <c r="F144" s="50">
        <v>0.17399999999999999</v>
      </c>
      <c r="G144" s="50">
        <f t="shared" ref="G144:G149" si="13">F144-0.04</f>
        <v>0.13399999999999998</v>
      </c>
      <c r="H144" s="262">
        <v>10000</v>
      </c>
      <c r="I144" s="19">
        <v>5</v>
      </c>
      <c r="J144" s="19" t="s">
        <v>107</v>
      </c>
      <c r="K144" s="143" t="s">
        <v>643</v>
      </c>
    </row>
    <row r="145" spans="2:11" s="6" customFormat="1" ht="12">
      <c r="B145" s="192">
        <v>245031</v>
      </c>
      <c r="C145" s="7" t="s">
        <v>869</v>
      </c>
      <c r="D145" s="68"/>
      <c r="E145" s="67"/>
      <c r="F145" s="50">
        <v>0.28599999999999998</v>
      </c>
      <c r="G145" s="50">
        <f t="shared" si="13"/>
        <v>0.24599999999999997</v>
      </c>
      <c r="H145" s="262">
        <v>3000</v>
      </c>
      <c r="I145" s="19">
        <v>6</v>
      </c>
      <c r="J145" s="19"/>
      <c r="K145" s="189" t="s">
        <v>518</v>
      </c>
    </row>
    <row r="146" spans="2:11" s="6" customFormat="1" ht="12">
      <c r="B146" s="192">
        <v>245030</v>
      </c>
      <c r="C146" s="7" t="s">
        <v>868</v>
      </c>
      <c r="D146" s="68"/>
      <c r="E146" s="67"/>
      <c r="F146" s="50">
        <v>0.13800000000000001</v>
      </c>
      <c r="G146" s="50">
        <f t="shared" si="13"/>
        <v>9.8000000000000004E-2</v>
      </c>
      <c r="H146" s="262">
        <v>6000</v>
      </c>
      <c r="I146" s="19">
        <v>12</v>
      </c>
      <c r="J146" s="19"/>
      <c r="K146" s="143" t="s">
        <v>643</v>
      </c>
    </row>
    <row r="147" spans="2:11" s="6" customFormat="1" ht="12">
      <c r="B147" s="192">
        <v>245029</v>
      </c>
      <c r="C147" s="7" t="s">
        <v>867</v>
      </c>
      <c r="D147" s="68"/>
      <c r="E147" s="67"/>
      <c r="F147" s="50">
        <v>0.13800000000000001</v>
      </c>
      <c r="G147" s="50">
        <f t="shared" si="13"/>
        <v>9.8000000000000004E-2</v>
      </c>
      <c r="H147" s="262">
        <v>6000</v>
      </c>
      <c r="I147" s="19">
        <v>11</v>
      </c>
      <c r="J147" s="19"/>
      <c r="K147" s="143" t="s">
        <v>643</v>
      </c>
    </row>
    <row r="148" spans="2:11" s="6" customFormat="1" ht="12">
      <c r="B148" s="192">
        <v>245028</v>
      </c>
      <c r="C148" s="7" t="s">
        <v>866</v>
      </c>
      <c r="D148" s="68"/>
      <c r="E148" s="67" t="s">
        <v>631</v>
      </c>
      <c r="F148" s="50">
        <v>0.20100000000000001</v>
      </c>
      <c r="G148" s="50">
        <f t="shared" si="13"/>
        <v>0.161</v>
      </c>
      <c r="H148" s="262">
        <v>10000</v>
      </c>
      <c r="I148" s="19">
        <v>18</v>
      </c>
      <c r="J148" s="19"/>
      <c r="K148" s="189" t="s">
        <v>518</v>
      </c>
    </row>
    <row r="149" spans="2:11" s="6" customFormat="1" ht="12">
      <c r="B149" s="192">
        <v>245027</v>
      </c>
      <c r="C149" s="7" t="s">
        <v>865</v>
      </c>
      <c r="D149" s="68"/>
      <c r="E149" s="67"/>
      <c r="F149" s="50">
        <v>0.15</v>
      </c>
      <c r="G149" s="50">
        <f t="shared" si="13"/>
        <v>0.10999999999999999</v>
      </c>
      <c r="H149" s="262">
        <v>9000</v>
      </c>
      <c r="I149" s="19" t="s">
        <v>353</v>
      </c>
      <c r="J149" s="19"/>
      <c r="K149" s="189" t="s">
        <v>518</v>
      </c>
    </row>
    <row r="150" spans="2:11" s="6" customFormat="1" ht="12">
      <c r="B150" s="192">
        <v>245026</v>
      </c>
      <c r="C150" s="7" t="s">
        <v>838</v>
      </c>
      <c r="D150" s="68"/>
      <c r="E150" s="67" t="s">
        <v>631</v>
      </c>
      <c r="F150" s="50">
        <v>0.27</v>
      </c>
      <c r="G150" s="50">
        <f>F150-0.04</f>
        <v>0.23</v>
      </c>
      <c r="H150" s="262">
        <v>30000</v>
      </c>
      <c r="I150" s="19">
        <v>12</v>
      </c>
      <c r="J150" s="19"/>
      <c r="K150" s="143" t="s">
        <v>643</v>
      </c>
    </row>
    <row r="151" spans="2:11" s="6" customFormat="1" ht="12">
      <c r="B151" s="192">
        <v>245025</v>
      </c>
      <c r="C151" s="7" t="s">
        <v>681</v>
      </c>
      <c r="D151" s="68"/>
      <c r="E151" s="67"/>
      <c r="F151" s="50">
        <v>0.182</v>
      </c>
      <c r="G151" s="50">
        <f>F151-0.04</f>
        <v>0.14199999999999999</v>
      </c>
      <c r="H151" s="262">
        <v>6000</v>
      </c>
      <c r="I151" s="19">
        <v>6</v>
      </c>
      <c r="J151" s="19"/>
      <c r="K151" s="143" t="s">
        <v>643</v>
      </c>
    </row>
    <row r="152" spans="2:11" s="6" customFormat="1" ht="12">
      <c r="B152" s="192">
        <v>245024</v>
      </c>
      <c r="C152" s="7" t="s">
        <v>675</v>
      </c>
      <c r="D152" s="68" t="s">
        <v>677</v>
      </c>
      <c r="E152" s="67"/>
      <c r="F152" s="50">
        <v>0.161</v>
      </c>
      <c r="G152" s="50">
        <f t="shared" ref="G152" si="14">F152-0.04</f>
        <v>0.121</v>
      </c>
      <c r="H152" s="8">
        <v>8000</v>
      </c>
      <c r="I152" s="19">
        <v>8</v>
      </c>
      <c r="J152" s="19" t="s">
        <v>107</v>
      </c>
      <c r="K152" s="143" t="s">
        <v>643</v>
      </c>
    </row>
    <row r="153" spans="2:11" s="6" customFormat="1" ht="12">
      <c r="B153" s="192">
        <v>245023</v>
      </c>
      <c r="C153" s="7" t="s">
        <v>676</v>
      </c>
      <c r="D153" s="68"/>
      <c r="E153" s="67" t="s">
        <v>631</v>
      </c>
      <c r="F153" s="50">
        <v>0.17100000000000001</v>
      </c>
      <c r="G153" s="50">
        <f t="shared" ref="G153:G168" si="15">F153-0.04</f>
        <v>0.13100000000000001</v>
      </c>
      <c r="H153" s="8">
        <v>12000</v>
      </c>
      <c r="I153" s="19">
        <v>12</v>
      </c>
      <c r="J153" s="19" t="s">
        <v>107</v>
      </c>
      <c r="K153" s="143" t="s">
        <v>643</v>
      </c>
    </row>
    <row r="154" spans="2:11" s="6" customFormat="1" ht="12">
      <c r="B154" s="192">
        <v>245021</v>
      </c>
      <c r="C154" s="7" t="s">
        <v>682</v>
      </c>
      <c r="D154" s="68"/>
      <c r="E154" s="67"/>
      <c r="F154" s="50">
        <v>0.25600000000000001</v>
      </c>
      <c r="G154" s="50">
        <f t="shared" si="15"/>
        <v>0.216</v>
      </c>
      <c r="H154" s="8">
        <v>4000</v>
      </c>
      <c r="I154" s="19">
        <v>8</v>
      </c>
      <c r="J154" s="19" t="s">
        <v>107</v>
      </c>
      <c r="K154" s="143" t="s">
        <v>643</v>
      </c>
    </row>
    <row r="155" spans="2:11" s="6" customFormat="1" ht="12">
      <c r="B155" s="192">
        <v>245018</v>
      </c>
      <c r="C155" s="7" t="s">
        <v>666</v>
      </c>
      <c r="D155" s="68"/>
      <c r="E155" s="67"/>
      <c r="F155" s="50">
        <v>0.23499999999999999</v>
      </c>
      <c r="G155" s="50">
        <f t="shared" si="15"/>
        <v>0.19499999999999998</v>
      </c>
      <c r="H155" s="8">
        <v>4000</v>
      </c>
      <c r="I155" s="19">
        <v>8</v>
      </c>
      <c r="J155" s="19"/>
      <c r="K155" s="143" t="s">
        <v>643</v>
      </c>
    </row>
    <row r="156" spans="2:11" s="6" customFormat="1" ht="12">
      <c r="B156" s="192">
        <v>245017</v>
      </c>
      <c r="C156" s="7" t="s">
        <v>665</v>
      </c>
      <c r="D156" s="68"/>
      <c r="E156" s="67"/>
      <c r="F156" s="50">
        <v>0.248</v>
      </c>
      <c r="G156" s="50">
        <f t="shared" si="15"/>
        <v>0.20799999999999999</v>
      </c>
      <c r="H156" s="8">
        <v>4000</v>
      </c>
      <c r="I156" s="19">
        <v>8</v>
      </c>
      <c r="J156" s="19"/>
      <c r="K156" s="189" t="s">
        <v>518</v>
      </c>
    </row>
    <row r="157" spans="2:11" s="6" customFormat="1" ht="12">
      <c r="B157" s="192">
        <v>245016</v>
      </c>
      <c r="C157" s="7" t="s">
        <v>663</v>
      </c>
      <c r="D157" s="144" t="s">
        <v>664</v>
      </c>
      <c r="E157" s="67"/>
      <c r="F157" s="50">
        <v>0.108</v>
      </c>
      <c r="G157" s="50">
        <f t="shared" si="15"/>
        <v>6.8000000000000005E-2</v>
      </c>
      <c r="H157" s="8">
        <v>10000</v>
      </c>
      <c r="I157" s="19" t="s">
        <v>353</v>
      </c>
      <c r="J157" s="19"/>
      <c r="K157" s="143" t="s">
        <v>643</v>
      </c>
    </row>
    <row r="158" spans="2:11" s="6" customFormat="1" ht="12">
      <c r="B158" s="192">
        <v>245015</v>
      </c>
      <c r="C158" s="7" t="s">
        <v>646</v>
      </c>
      <c r="D158" s="68"/>
      <c r="E158" s="67"/>
      <c r="F158" s="50">
        <v>0.161</v>
      </c>
      <c r="G158" s="50">
        <f t="shared" si="15"/>
        <v>0.121</v>
      </c>
      <c r="H158" s="8">
        <v>10000</v>
      </c>
      <c r="I158" s="19">
        <v>12</v>
      </c>
      <c r="J158" s="19"/>
      <c r="K158" s="189" t="s">
        <v>518</v>
      </c>
    </row>
    <row r="159" spans="2:11" s="6" customFormat="1" ht="12">
      <c r="B159" s="192">
        <v>245014</v>
      </c>
      <c r="C159" s="7" t="s">
        <v>645</v>
      </c>
      <c r="D159" s="68"/>
      <c r="E159" s="67"/>
      <c r="F159" s="50">
        <v>0.129</v>
      </c>
      <c r="G159" s="50">
        <f t="shared" si="15"/>
        <v>8.8999999999999996E-2</v>
      </c>
      <c r="H159" s="8">
        <v>10000</v>
      </c>
      <c r="I159" s="19">
        <v>12</v>
      </c>
      <c r="J159" s="19"/>
      <c r="K159" s="143" t="s">
        <v>643</v>
      </c>
    </row>
    <row r="160" spans="2:11" s="6" customFormat="1" ht="12">
      <c r="B160" s="192">
        <v>245012</v>
      </c>
      <c r="C160" s="7" t="s">
        <v>795</v>
      </c>
      <c r="D160" s="68"/>
      <c r="E160" s="67"/>
      <c r="F160" s="50">
        <v>0.193</v>
      </c>
      <c r="G160" s="50">
        <f t="shared" si="15"/>
        <v>0.153</v>
      </c>
      <c r="H160" s="8">
        <v>6000</v>
      </c>
      <c r="I160" s="19">
        <v>6</v>
      </c>
      <c r="J160" s="19"/>
      <c r="K160" s="143" t="s">
        <v>643</v>
      </c>
    </row>
    <row r="161" spans="2:11" s="6" customFormat="1" ht="12">
      <c r="B161" s="192">
        <v>245011</v>
      </c>
      <c r="C161" s="7" t="s">
        <v>794</v>
      </c>
      <c r="D161" s="68"/>
      <c r="E161" s="67"/>
      <c r="F161" s="50">
        <v>0.246</v>
      </c>
      <c r="G161" s="50">
        <f t="shared" si="15"/>
        <v>0.20599999999999999</v>
      </c>
      <c r="H161" s="8">
        <v>6000</v>
      </c>
      <c r="I161" s="19">
        <v>6</v>
      </c>
      <c r="J161" s="19"/>
      <c r="K161" s="189" t="s">
        <v>518</v>
      </c>
    </row>
    <row r="162" spans="2:11" s="6" customFormat="1" ht="12">
      <c r="B162" s="192">
        <v>245010</v>
      </c>
      <c r="C162" s="7" t="s">
        <v>635</v>
      </c>
      <c r="D162" s="68"/>
      <c r="E162" s="67" t="s">
        <v>631</v>
      </c>
      <c r="F162" s="50">
        <v>0.20300000000000001</v>
      </c>
      <c r="G162" s="50">
        <f t="shared" si="15"/>
        <v>0.16300000000000001</v>
      </c>
      <c r="H162" s="8">
        <v>5000</v>
      </c>
      <c r="I162" s="19">
        <v>6</v>
      </c>
      <c r="J162" s="19"/>
      <c r="K162" s="189" t="s">
        <v>518</v>
      </c>
    </row>
    <row r="163" spans="2:11" s="6" customFormat="1" ht="12">
      <c r="B163" s="192">
        <v>245007</v>
      </c>
      <c r="C163" s="7" t="s">
        <v>839</v>
      </c>
      <c r="D163" s="68"/>
      <c r="E163" s="67"/>
      <c r="F163" s="50">
        <v>0.23499999999999999</v>
      </c>
      <c r="G163" s="50">
        <f t="shared" si="15"/>
        <v>0.19499999999999998</v>
      </c>
      <c r="H163" s="8">
        <v>7000</v>
      </c>
      <c r="I163" s="19">
        <v>7</v>
      </c>
      <c r="J163" s="19">
        <v>7</v>
      </c>
      <c r="K163" s="143" t="s">
        <v>643</v>
      </c>
    </row>
    <row r="164" spans="2:11" s="6" customFormat="1" ht="12">
      <c r="B164" s="192">
        <v>245006</v>
      </c>
      <c r="C164" s="7" t="s">
        <v>634</v>
      </c>
      <c r="D164" s="68"/>
      <c r="E164" s="67"/>
      <c r="F164" s="50">
        <v>0.25600000000000001</v>
      </c>
      <c r="G164" s="50"/>
      <c r="H164" s="8">
        <v>2000</v>
      </c>
      <c r="I164" s="19">
        <v>4</v>
      </c>
      <c r="J164" s="19"/>
      <c r="K164" s="189" t="s">
        <v>518</v>
      </c>
    </row>
    <row r="165" spans="2:11" s="6" customFormat="1" ht="12">
      <c r="B165" s="192">
        <v>245004</v>
      </c>
      <c r="C165" s="7" t="s">
        <v>793</v>
      </c>
      <c r="D165" s="68"/>
      <c r="E165" s="67"/>
      <c r="F165" s="50">
        <v>0.13300000000000001</v>
      </c>
      <c r="G165" s="50"/>
      <c r="H165" s="8">
        <v>4000</v>
      </c>
      <c r="I165" s="19"/>
      <c r="J165" s="19">
        <v>4</v>
      </c>
      <c r="K165" s="143" t="s">
        <v>643</v>
      </c>
    </row>
    <row r="166" spans="2:11" s="6" customFormat="1" ht="12">
      <c r="B166" s="192">
        <v>245003</v>
      </c>
      <c r="C166" s="7" t="s">
        <v>619</v>
      </c>
      <c r="D166" s="144" t="s">
        <v>620</v>
      </c>
      <c r="E166" s="67"/>
      <c r="F166" s="50">
        <v>0.114</v>
      </c>
      <c r="G166" s="50">
        <f t="shared" si="15"/>
        <v>7.400000000000001E-2</v>
      </c>
      <c r="H166" s="8">
        <v>10000</v>
      </c>
      <c r="I166" s="19">
        <v>26</v>
      </c>
      <c r="J166" s="19"/>
      <c r="K166" s="143" t="s">
        <v>643</v>
      </c>
    </row>
    <row r="167" spans="2:11" s="6" customFormat="1" ht="12">
      <c r="B167" s="192">
        <v>245002</v>
      </c>
      <c r="C167" s="7" t="s">
        <v>618</v>
      </c>
      <c r="D167" s="68"/>
      <c r="E167" s="67"/>
      <c r="F167" s="50">
        <v>0.22</v>
      </c>
      <c r="G167" s="50">
        <f t="shared" si="15"/>
        <v>0.18</v>
      </c>
      <c r="H167" s="8">
        <v>8000</v>
      </c>
      <c r="I167" s="19">
        <v>4</v>
      </c>
      <c r="J167" s="19"/>
      <c r="K167" s="143" t="s">
        <v>643</v>
      </c>
    </row>
    <row r="168" spans="2:11" s="6" customFormat="1" ht="12">
      <c r="B168" s="192">
        <v>245001</v>
      </c>
      <c r="C168" s="7" t="s">
        <v>617</v>
      </c>
      <c r="D168" s="68"/>
      <c r="E168" s="67"/>
      <c r="F168" s="50">
        <v>0.16300000000000001</v>
      </c>
      <c r="G168" s="50">
        <f t="shared" si="15"/>
        <v>0.123</v>
      </c>
      <c r="H168" s="8">
        <v>6000</v>
      </c>
      <c r="I168" s="19">
        <v>10</v>
      </c>
      <c r="J168" s="19"/>
      <c r="K168" s="143" t="s">
        <v>643</v>
      </c>
    </row>
    <row r="169" spans="2:11" s="6" customFormat="1" ht="12">
      <c r="B169" s="192">
        <v>235001</v>
      </c>
      <c r="C169" s="7" t="s">
        <v>792</v>
      </c>
      <c r="D169" s="68"/>
      <c r="E169" s="250" t="s">
        <v>632</v>
      </c>
      <c r="F169" s="50">
        <v>0.23499999999999999</v>
      </c>
      <c r="G169" s="50">
        <f t="shared" ref="G169:G186" si="16">F169-0.04</f>
        <v>0.19499999999999998</v>
      </c>
      <c r="H169" s="8">
        <v>4000</v>
      </c>
      <c r="I169" s="19">
        <v>8</v>
      </c>
      <c r="J169" s="19"/>
      <c r="K169" s="143" t="s">
        <v>643</v>
      </c>
    </row>
    <row r="170" spans="2:11" s="6" customFormat="1" ht="12">
      <c r="B170" s="192">
        <v>235002</v>
      </c>
      <c r="C170" s="7" t="s">
        <v>791</v>
      </c>
      <c r="D170" s="68"/>
      <c r="E170" s="67" t="s">
        <v>301</v>
      </c>
      <c r="F170" s="50">
        <v>0.11899999999999999</v>
      </c>
      <c r="G170" s="50">
        <f t="shared" si="16"/>
        <v>7.8999999999999987E-2</v>
      </c>
      <c r="H170" s="8">
        <v>5000</v>
      </c>
      <c r="I170" s="19">
        <v>12</v>
      </c>
      <c r="J170" s="19"/>
      <c r="K170" s="143" t="s">
        <v>643</v>
      </c>
    </row>
    <row r="171" spans="2:11" s="6" customFormat="1" ht="12">
      <c r="B171" s="192">
        <v>235003</v>
      </c>
      <c r="C171" s="7" t="s">
        <v>790</v>
      </c>
      <c r="D171" s="68"/>
      <c r="E171" s="67" t="s">
        <v>301</v>
      </c>
      <c r="F171" s="50">
        <v>0.11899999999999999</v>
      </c>
      <c r="G171" s="50">
        <f t="shared" si="16"/>
        <v>7.8999999999999987E-2</v>
      </c>
      <c r="H171" s="8">
        <v>5000</v>
      </c>
      <c r="I171" s="19">
        <v>5</v>
      </c>
      <c r="J171" s="19"/>
      <c r="K171" s="143" t="s">
        <v>643</v>
      </c>
    </row>
    <row r="172" spans="2:11" s="6" customFormat="1" ht="12">
      <c r="B172" s="192">
        <v>235004</v>
      </c>
      <c r="C172" s="7" t="s">
        <v>592</v>
      </c>
      <c r="D172" s="144" t="s">
        <v>591</v>
      </c>
      <c r="E172" s="67"/>
      <c r="F172" s="50">
        <v>0.11899999999999999</v>
      </c>
      <c r="G172" s="50">
        <f t="shared" si="16"/>
        <v>7.8999999999999987E-2</v>
      </c>
      <c r="H172" s="8">
        <v>5000</v>
      </c>
      <c r="I172" s="19" t="s">
        <v>107</v>
      </c>
      <c r="J172" s="19"/>
      <c r="K172" s="189" t="s">
        <v>597</v>
      </c>
    </row>
    <row r="173" spans="2:11" s="6" customFormat="1" ht="12">
      <c r="B173" s="192">
        <v>235005</v>
      </c>
      <c r="C173" s="7" t="s">
        <v>593</v>
      </c>
      <c r="D173" s="144"/>
      <c r="E173" s="67" t="s">
        <v>301</v>
      </c>
      <c r="F173" s="50">
        <v>0.14000000000000001</v>
      </c>
      <c r="G173" s="50">
        <f t="shared" si="16"/>
        <v>0.1</v>
      </c>
      <c r="H173" s="8">
        <v>10000</v>
      </c>
      <c r="I173" s="19" t="s">
        <v>594</v>
      </c>
      <c r="J173" s="19"/>
      <c r="K173" s="143" t="s">
        <v>643</v>
      </c>
    </row>
    <row r="174" spans="2:11" s="6" customFormat="1" ht="12">
      <c r="B174" s="192">
        <v>235006</v>
      </c>
      <c r="C174" s="7" t="s">
        <v>405</v>
      </c>
      <c r="D174" s="144"/>
      <c r="E174" s="67" t="s">
        <v>301</v>
      </c>
      <c r="F174" s="50">
        <v>0.125</v>
      </c>
      <c r="G174" s="50">
        <f t="shared" si="16"/>
        <v>8.4999999999999992E-2</v>
      </c>
      <c r="H174" s="8">
        <v>5000</v>
      </c>
      <c r="I174" s="19" t="s">
        <v>594</v>
      </c>
      <c r="J174" s="19"/>
      <c r="K174" s="143" t="s">
        <v>643</v>
      </c>
    </row>
    <row r="175" spans="2:11" s="6" customFormat="1" ht="12">
      <c r="B175" s="192">
        <v>235007</v>
      </c>
      <c r="C175" s="7" t="s">
        <v>796</v>
      </c>
      <c r="D175" s="144"/>
      <c r="E175" s="67"/>
      <c r="F175" s="50">
        <v>0.182</v>
      </c>
      <c r="G175" s="50">
        <f t="shared" si="16"/>
        <v>0.14199999999999999</v>
      </c>
      <c r="H175" s="8">
        <v>4000</v>
      </c>
      <c r="I175" s="19">
        <v>4</v>
      </c>
      <c r="J175" s="19"/>
      <c r="K175" s="143" t="s">
        <v>643</v>
      </c>
    </row>
    <row r="176" spans="2:11" s="6" customFormat="1" ht="12">
      <c r="B176" s="192">
        <v>235011</v>
      </c>
      <c r="C176" s="7" t="s">
        <v>683</v>
      </c>
      <c r="D176" s="144"/>
      <c r="E176" s="67"/>
      <c r="F176" s="50">
        <v>0.184</v>
      </c>
      <c r="G176" s="50">
        <f t="shared" si="16"/>
        <v>0.14399999999999999</v>
      </c>
      <c r="H176" s="8">
        <v>10000</v>
      </c>
      <c r="I176" s="19">
        <v>12</v>
      </c>
      <c r="J176" s="19" t="s">
        <v>107</v>
      </c>
      <c r="K176" s="143" t="s">
        <v>643</v>
      </c>
    </row>
    <row r="177" spans="2:11" s="6" customFormat="1" ht="12">
      <c r="B177" s="192">
        <v>235012</v>
      </c>
      <c r="C177" s="7" t="s">
        <v>595</v>
      </c>
      <c r="D177" s="144"/>
      <c r="E177" s="67" t="s">
        <v>301</v>
      </c>
      <c r="F177" s="50">
        <v>0.218</v>
      </c>
      <c r="G177" s="50">
        <f t="shared" si="16"/>
        <v>0.17799999999999999</v>
      </c>
      <c r="H177" s="8">
        <v>6000</v>
      </c>
      <c r="I177" s="19">
        <v>12</v>
      </c>
      <c r="J177" s="19"/>
      <c r="K177" s="143" t="s">
        <v>643</v>
      </c>
    </row>
    <row r="178" spans="2:11" s="6" customFormat="1" ht="12">
      <c r="B178" s="192">
        <v>235013</v>
      </c>
      <c r="C178" s="7" t="s">
        <v>596</v>
      </c>
      <c r="D178" s="144"/>
      <c r="E178" s="67" t="s">
        <v>301</v>
      </c>
      <c r="F178" s="50">
        <v>0.222</v>
      </c>
      <c r="G178" s="50">
        <f t="shared" si="16"/>
        <v>0.182</v>
      </c>
      <c r="H178" s="8">
        <v>6000</v>
      </c>
      <c r="I178" s="19">
        <v>12</v>
      </c>
      <c r="J178" s="19"/>
      <c r="K178" s="143" t="s">
        <v>643</v>
      </c>
    </row>
    <row r="179" spans="2:11" s="6" customFormat="1" ht="12">
      <c r="B179" s="192">
        <v>235014</v>
      </c>
      <c r="C179" s="7" t="s">
        <v>789</v>
      </c>
      <c r="D179" s="144"/>
      <c r="E179" s="67" t="s">
        <v>301</v>
      </c>
      <c r="F179" s="50">
        <v>0.218</v>
      </c>
      <c r="G179" s="50">
        <f t="shared" si="16"/>
        <v>0.17799999999999999</v>
      </c>
      <c r="H179" s="8">
        <v>10000</v>
      </c>
      <c r="I179" s="19">
        <v>56</v>
      </c>
      <c r="J179" s="19"/>
      <c r="K179" s="143" t="s">
        <v>643</v>
      </c>
    </row>
    <row r="180" spans="2:11" s="6" customFormat="1" ht="12">
      <c r="B180" s="192">
        <v>235015</v>
      </c>
      <c r="C180" s="7" t="s">
        <v>598</v>
      </c>
      <c r="D180" s="144"/>
      <c r="E180" s="67" t="s">
        <v>301</v>
      </c>
      <c r="F180" s="50">
        <v>0.161</v>
      </c>
      <c r="G180" s="50">
        <f t="shared" si="16"/>
        <v>0.121</v>
      </c>
      <c r="H180" s="8">
        <v>10000</v>
      </c>
      <c r="I180" s="19">
        <v>12</v>
      </c>
      <c r="J180" s="19"/>
      <c r="K180" s="143" t="s">
        <v>643</v>
      </c>
    </row>
    <row r="181" spans="2:11" s="6" customFormat="1" ht="12">
      <c r="B181" s="192">
        <v>235016</v>
      </c>
      <c r="C181" s="7" t="s">
        <v>788</v>
      </c>
      <c r="D181" s="144"/>
      <c r="E181" s="67"/>
      <c r="F181" s="50">
        <v>0.17100000000000001</v>
      </c>
      <c r="G181" s="50">
        <f t="shared" si="16"/>
        <v>0.13100000000000001</v>
      </c>
      <c r="H181" s="8">
        <v>5000</v>
      </c>
      <c r="I181" s="19">
        <v>5</v>
      </c>
      <c r="J181" s="19" t="s">
        <v>107</v>
      </c>
      <c r="K181" s="143" t="s">
        <v>643</v>
      </c>
    </row>
    <row r="182" spans="2:11" s="6" customFormat="1" ht="12">
      <c r="B182" s="192">
        <v>235017</v>
      </c>
      <c r="C182" s="7" t="s">
        <v>787</v>
      </c>
      <c r="D182" s="144" t="s">
        <v>603</v>
      </c>
      <c r="E182" s="67" t="s">
        <v>301</v>
      </c>
      <c r="F182" s="50">
        <v>0.224</v>
      </c>
      <c r="G182" s="50">
        <f t="shared" si="16"/>
        <v>0.184</v>
      </c>
      <c r="H182" s="8">
        <v>50000</v>
      </c>
      <c r="I182" s="19">
        <v>4</v>
      </c>
      <c r="J182" s="19">
        <v>5</v>
      </c>
      <c r="K182" s="143" t="s">
        <v>643</v>
      </c>
    </row>
    <row r="183" spans="2:11" s="6" customFormat="1" ht="12">
      <c r="B183" s="192">
        <v>235018</v>
      </c>
      <c r="C183" s="7" t="s">
        <v>600</v>
      </c>
      <c r="D183" s="144"/>
      <c r="E183" s="250" t="s">
        <v>632</v>
      </c>
      <c r="F183" s="50">
        <v>0.14000000000000001</v>
      </c>
      <c r="G183" s="50">
        <f t="shared" si="16"/>
        <v>0.1</v>
      </c>
      <c r="H183" s="8">
        <v>5000</v>
      </c>
      <c r="I183" s="19" t="s">
        <v>594</v>
      </c>
      <c r="J183" s="19"/>
      <c r="K183" s="143" t="s">
        <v>643</v>
      </c>
    </row>
    <row r="184" spans="2:11" s="6" customFormat="1" ht="12">
      <c r="B184" s="192">
        <v>235019</v>
      </c>
      <c r="C184" s="7" t="s">
        <v>601</v>
      </c>
      <c r="D184" s="144"/>
      <c r="E184" s="67" t="s">
        <v>301</v>
      </c>
      <c r="F184" s="50">
        <v>0.14000000000000001</v>
      </c>
      <c r="G184" s="50">
        <f t="shared" si="16"/>
        <v>0.1</v>
      </c>
      <c r="H184" s="8">
        <v>5000</v>
      </c>
      <c r="I184" s="19" t="s">
        <v>594</v>
      </c>
      <c r="J184" s="19"/>
      <c r="K184" s="143" t="s">
        <v>643</v>
      </c>
    </row>
    <row r="185" spans="2:11" s="6" customFormat="1" ht="12">
      <c r="B185" s="192">
        <v>235020</v>
      </c>
      <c r="C185" s="7" t="s">
        <v>786</v>
      </c>
      <c r="D185" s="144"/>
      <c r="E185" s="67"/>
      <c r="F185" s="50">
        <v>9.7000000000000003E-2</v>
      </c>
      <c r="G185" s="50">
        <f t="shared" si="16"/>
        <v>5.7000000000000002E-2</v>
      </c>
      <c r="H185" s="8">
        <v>30000</v>
      </c>
      <c r="I185" s="19" t="s">
        <v>107</v>
      </c>
      <c r="J185" s="19"/>
      <c r="K185" s="143" t="s">
        <v>643</v>
      </c>
    </row>
    <row r="186" spans="2:11" s="6" customFormat="1" ht="12">
      <c r="B186" s="192">
        <v>235023</v>
      </c>
      <c r="C186" s="7" t="s">
        <v>614</v>
      </c>
      <c r="D186" s="144"/>
      <c r="E186" s="67"/>
      <c r="F186" s="50">
        <v>0.15</v>
      </c>
      <c r="G186" s="50">
        <f t="shared" si="16"/>
        <v>0.10999999999999999</v>
      </c>
      <c r="H186" s="8">
        <v>5000</v>
      </c>
      <c r="I186" s="19">
        <v>5</v>
      </c>
      <c r="J186" s="19"/>
      <c r="K186" s="143" t="s">
        <v>643</v>
      </c>
    </row>
    <row r="187" spans="2:11" s="6" customFormat="1" ht="12">
      <c r="B187" s="192">
        <v>235024</v>
      </c>
      <c r="C187" s="7" t="s">
        <v>615</v>
      </c>
      <c r="D187" s="144"/>
      <c r="E187" s="67"/>
      <c r="F187" s="50">
        <v>0.246</v>
      </c>
      <c r="G187" s="50"/>
      <c r="H187" s="8">
        <v>3000</v>
      </c>
      <c r="I187" s="19"/>
      <c r="J187" s="19">
        <v>3</v>
      </c>
      <c r="K187" s="110" t="s">
        <v>642</v>
      </c>
    </row>
    <row r="188" spans="2:11" s="6" customFormat="1" ht="12">
      <c r="B188" s="192">
        <v>235025</v>
      </c>
      <c r="C188" s="7" t="s">
        <v>785</v>
      </c>
      <c r="D188" s="144"/>
      <c r="E188" s="67"/>
      <c r="F188" s="50">
        <v>0.246</v>
      </c>
      <c r="G188" s="50"/>
      <c r="H188" s="8">
        <v>4000</v>
      </c>
      <c r="I188" s="19">
        <v>2</v>
      </c>
      <c r="J188" s="19">
        <v>4</v>
      </c>
      <c r="K188" s="110" t="s">
        <v>642</v>
      </c>
    </row>
    <row r="189" spans="2:11" s="6" customFormat="1" ht="12">
      <c r="B189" s="192">
        <v>225001</v>
      </c>
      <c r="C189" s="7" t="s">
        <v>508</v>
      </c>
      <c r="D189" s="68"/>
      <c r="E189" s="67"/>
      <c r="F189" s="50">
        <v>0.14000000000000001</v>
      </c>
      <c r="G189" s="50">
        <f t="shared" ref="G189:G193" si="17">F189-0.04</f>
        <v>0.1</v>
      </c>
      <c r="H189" s="8">
        <v>6000</v>
      </c>
      <c r="I189" s="19">
        <v>12</v>
      </c>
      <c r="J189" s="19"/>
      <c r="K189" s="143" t="s">
        <v>643</v>
      </c>
    </row>
    <row r="190" spans="2:11" s="6" customFormat="1" ht="12">
      <c r="B190" s="192">
        <v>225002</v>
      </c>
      <c r="C190" s="7" t="s">
        <v>784</v>
      </c>
      <c r="D190" s="68"/>
      <c r="E190" s="67"/>
      <c r="F190" s="50">
        <v>0.25600000000000001</v>
      </c>
      <c r="G190" s="50">
        <f t="shared" si="17"/>
        <v>0.216</v>
      </c>
      <c r="H190" s="8">
        <v>2000</v>
      </c>
      <c r="I190" s="19">
        <v>3</v>
      </c>
      <c r="J190" s="19">
        <v>4</v>
      </c>
      <c r="K190" s="143" t="s">
        <v>643</v>
      </c>
    </row>
    <row r="191" spans="2:11" s="6" customFormat="1" ht="12">
      <c r="B191" s="192">
        <v>225003</v>
      </c>
      <c r="C191" s="7" t="s">
        <v>509</v>
      </c>
      <c r="D191" s="68"/>
      <c r="E191" s="67" t="s">
        <v>631</v>
      </c>
      <c r="F191" s="50">
        <v>0.11</v>
      </c>
      <c r="G191" s="50">
        <f t="shared" si="17"/>
        <v>7.0000000000000007E-2</v>
      </c>
      <c r="H191" s="8">
        <v>5000</v>
      </c>
      <c r="I191" s="19">
        <v>6</v>
      </c>
      <c r="J191" s="19"/>
      <c r="K191" s="143" t="s">
        <v>643</v>
      </c>
    </row>
    <row r="192" spans="2:11" s="6" customFormat="1" ht="12">
      <c r="B192" s="192">
        <v>225007</v>
      </c>
      <c r="C192" s="7" t="s">
        <v>468</v>
      </c>
      <c r="D192" s="67" t="s">
        <v>307</v>
      </c>
      <c r="E192" s="67" t="s">
        <v>301</v>
      </c>
      <c r="F192" s="50">
        <v>0.224</v>
      </c>
      <c r="G192" s="50">
        <f t="shared" si="17"/>
        <v>0.184</v>
      </c>
      <c r="H192" s="8">
        <v>7000</v>
      </c>
      <c r="I192" s="19">
        <v>14</v>
      </c>
      <c r="J192" s="19"/>
      <c r="K192" s="143" t="s">
        <v>643</v>
      </c>
    </row>
    <row r="193" spans="2:11" s="6" customFormat="1" ht="12">
      <c r="B193" s="192">
        <v>225009</v>
      </c>
      <c r="C193" s="7" t="s">
        <v>510</v>
      </c>
      <c r="D193" s="68"/>
      <c r="E193" s="67"/>
      <c r="F193" s="50">
        <v>0.214</v>
      </c>
      <c r="G193" s="50">
        <f t="shared" si="17"/>
        <v>0.17399999999999999</v>
      </c>
      <c r="H193" s="8">
        <v>6000</v>
      </c>
      <c r="I193" s="19">
        <v>6</v>
      </c>
      <c r="J193" s="19"/>
      <c r="K193" s="189" t="s">
        <v>518</v>
      </c>
    </row>
    <row r="194" spans="2:11" s="6" customFormat="1" ht="12">
      <c r="B194" s="192">
        <v>225010</v>
      </c>
      <c r="C194" s="7" t="s">
        <v>783</v>
      </c>
      <c r="D194" s="68"/>
      <c r="E194" s="67"/>
      <c r="F194" s="50">
        <v>0.14000000000000001</v>
      </c>
      <c r="G194" s="50">
        <f t="shared" ref="G194:G199" si="18">F194-0.04</f>
        <v>0.1</v>
      </c>
      <c r="H194" s="8">
        <v>5000</v>
      </c>
      <c r="I194" s="19">
        <v>8</v>
      </c>
      <c r="J194" s="19">
        <v>8</v>
      </c>
      <c r="K194" s="143" t="s">
        <v>643</v>
      </c>
    </row>
    <row r="195" spans="2:11" s="6" customFormat="1" ht="12">
      <c r="B195" s="192">
        <v>225011</v>
      </c>
      <c r="C195" s="7" t="s">
        <v>782</v>
      </c>
      <c r="D195" s="68"/>
      <c r="E195" s="67"/>
      <c r="F195" s="50">
        <v>0.125</v>
      </c>
      <c r="G195" s="50">
        <f t="shared" si="18"/>
        <v>8.4999999999999992E-2</v>
      </c>
      <c r="H195" s="8">
        <v>10000</v>
      </c>
      <c r="I195" s="19">
        <v>10</v>
      </c>
      <c r="J195" s="19"/>
      <c r="K195" s="143" t="s">
        <v>643</v>
      </c>
    </row>
    <row r="196" spans="2:11" s="6" customFormat="1" ht="12">
      <c r="B196" s="192">
        <v>225012</v>
      </c>
      <c r="C196" s="7" t="s">
        <v>544</v>
      </c>
      <c r="D196" s="68"/>
      <c r="E196" s="67" t="s">
        <v>301</v>
      </c>
      <c r="F196" s="50">
        <v>0.182</v>
      </c>
      <c r="G196" s="50"/>
      <c r="H196" s="8">
        <v>6000</v>
      </c>
      <c r="I196" s="19">
        <v>5</v>
      </c>
      <c r="J196" s="19"/>
      <c r="K196" s="189" t="s">
        <v>518</v>
      </c>
    </row>
    <row r="197" spans="2:11" s="6" customFormat="1" ht="12">
      <c r="B197" s="192">
        <v>225015</v>
      </c>
      <c r="C197" s="7" t="s">
        <v>550</v>
      </c>
      <c r="D197" s="68"/>
      <c r="E197" s="67" t="s">
        <v>301</v>
      </c>
      <c r="F197" s="50">
        <v>0.14799999999999999</v>
      </c>
      <c r="G197" s="50">
        <f t="shared" si="18"/>
        <v>0.10799999999999998</v>
      </c>
      <c r="H197" s="8">
        <v>5000</v>
      </c>
      <c r="I197" s="19" t="s">
        <v>551</v>
      </c>
      <c r="J197" s="19"/>
      <c r="K197" s="143" t="s">
        <v>643</v>
      </c>
    </row>
    <row r="198" spans="2:11" s="6" customFormat="1" ht="12">
      <c r="B198" s="140">
        <v>225016</v>
      </c>
      <c r="C198" s="7" t="s">
        <v>781</v>
      </c>
      <c r="D198" s="68"/>
      <c r="E198" s="67"/>
      <c r="F198" s="50">
        <v>0.26900000000000002</v>
      </c>
      <c r="G198" s="50">
        <f t="shared" si="18"/>
        <v>0.22900000000000001</v>
      </c>
      <c r="H198" s="306">
        <v>20000</v>
      </c>
      <c r="I198" s="19">
        <v>14</v>
      </c>
      <c r="J198" s="19"/>
      <c r="K198" s="189" t="s">
        <v>518</v>
      </c>
    </row>
    <row r="199" spans="2:11" s="6" customFormat="1" ht="12">
      <c r="B199" s="192">
        <v>225017</v>
      </c>
      <c r="C199" s="7" t="s">
        <v>568</v>
      </c>
      <c r="D199" s="144" t="s">
        <v>570</v>
      </c>
      <c r="E199" s="67"/>
      <c r="F199" s="50">
        <v>0.15</v>
      </c>
      <c r="G199" s="50">
        <f t="shared" si="18"/>
        <v>0.10999999999999999</v>
      </c>
      <c r="H199" s="8">
        <v>5000</v>
      </c>
      <c r="I199" s="19"/>
      <c r="J199" s="19"/>
      <c r="K199" s="143" t="s">
        <v>643</v>
      </c>
    </row>
    <row r="200" spans="2:11" s="6" customFormat="1" ht="12">
      <c r="B200" s="192">
        <v>215001</v>
      </c>
      <c r="C200" s="7" t="s">
        <v>780</v>
      </c>
      <c r="D200" s="68"/>
      <c r="E200" s="67"/>
      <c r="F200" s="50">
        <v>0.188</v>
      </c>
      <c r="G200" s="50">
        <f>F200-0.04</f>
        <v>0.14799999999999999</v>
      </c>
      <c r="H200" s="8">
        <v>6000</v>
      </c>
      <c r="I200" s="19">
        <v>8</v>
      </c>
      <c r="J200" s="19"/>
      <c r="K200" s="189" t="s">
        <v>518</v>
      </c>
    </row>
    <row r="201" spans="2:11" s="6" customFormat="1" ht="12">
      <c r="B201" s="192">
        <v>215002</v>
      </c>
      <c r="C201" s="7" t="s">
        <v>778</v>
      </c>
      <c r="D201" s="67" t="s">
        <v>779</v>
      </c>
      <c r="E201" s="67"/>
      <c r="F201" s="50">
        <v>0.14599999999999999</v>
      </c>
      <c r="G201" s="50">
        <f t="shared" ref="G201:G231" si="19">F201-0.04</f>
        <v>0.10599999999999998</v>
      </c>
      <c r="H201" s="8">
        <v>5000</v>
      </c>
      <c r="I201" s="19">
        <v>20</v>
      </c>
      <c r="J201" s="19"/>
      <c r="K201" s="143" t="s">
        <v>643</v>
      </c>
    </row>
    <row r="202" spans="2:11" s="6" customFormat="1" ht="12">
      <c r="B202" s="192">
        <v>215008</v>
      </c>
      <c r="C202" s="7" t="s">
        <v>467</v>
      </c>
      <c r="D202" s="67"/>
      <c r="E202" s="67"/>
      <c r="F202" s="50">
        <v>0.28799999999999998</v>
      </c>
      <c r="G202" s="50">
        <f t="shared" si="19"/>
        <v>0.24799999999999997</v>
      </c>
      <c r="H202" s="8">
        <v>2000</v>
      </c>
      <c r="I202" s="19"/>
      <c r="J202" s="19"/>
      <c r="K202" s="143" t="s">
        <v>643</v>
      </c>
    </row>
    <row r="203" spans="2:11" s="6" customFormat="1" ht="12">
      <c r="B203" s="192">
        <v>215009</v>
      </c>
      <c r="C203" s="7" t="s">
        <v>777</v>
      </c>
      <c r="D203" s="67"/>
      <c r="E203" s="67"/>
      <c r="F203" s="50">
        <v>0.29799999999999999</v>
      </c>
      <c r="G203" s="50">
        <f t="shared" si="19"/>
        <v>0.25800000000000001</v>
      </c>
      <c r="H203" s="8">
        <v>4000</v>
      </c>
      <c r="I203" s="19"/>
      <c r="J203" s="19">
        <v>4</v>
      </c>
      <c r="K203" s="110" t="s">
        <v>642</v>
      </c>
    </row>
    <row r="204" spans="2:11" s="6" customFormat="1" ht="12">
      <c r="B204" s="192">
        <v>215011</v>
      </c>
      <c r="C204" s="7" t="s">
        <v>776</v>
      </c>
      <c r="D204" s="67"/>
      <c r="E204" s="67"/>
      <c r="F204" s="50">
        <v>0.29199999999999998</v>
      </c>
      <c r="G204" s="50">
        <f t="shared" si="19"/>
        <v>0.252</v>
      </c>
      <c r="H204" s="8">
        <v>6000</v>
      </c>
      <c r="I204" s="19">
        <v>6</v>
      </c>
      <c r="J204" s="19">
        <v>6</v>
      </c>
      <c r="K204" s="143" t="s">
        <v>643</v>
      </c>
    </row>
    <row r="205" spans="2:11" s="6" customFormat="1" ht="12">
      <c r="B205" s="192">
        <v>215015</v>
      </c>
      <c r="C205" s="7" t="s">
        <v>633</v>
      </c>
      <c r="D205" s="67"/>
      <c r="E205" s="67"/>
      <c r="F205" s="50">
        <v>0.28799999999999998</v>
      </c>
      <c r="G205" s="50">
        <f t="shared" si="19"/>
        <v>0.24799999999999997</v>
      </c>
      <c r="H205" s="8">
        <v>4000</v>
      </c>
      <c r="I205" s="19"/>
      <c r="J205" s="19"/>
      <c r="K205" s="143" t="s">
        <v>643</v>
      </c>
    </row>
    <row r="206" spans="2:11" s="6" customFormat="1" ht="12">
      <c r="B206" s="192">
        <v>215016</v>
      </c>
      <c r="C206" s="7" t="s">
        <v>478</v>
      </c>
      <c r="D206" s="67"/>
      <c r="E206" s="67"/>
      <c r="F206" s="50">
        <v>0.33</v>
      </c>
      <c r="G206" s="50">
        <v>0.33</v>
      </c>
      <c r="H206" s="8">
        <v>3000</v>
      </c>
      <c r="I206" s="19"/>
      <c r="J206" s="19">
        <v>5</v>
      </c>
      <c r="K206" s="189" t="s">
        <v>518</v>
      </c>
    </row>
    <row r="207" spans="2:11" s="6" customFormat="1" ht="12">
      <c r="B207" s="192">
        <v>215018</v>
      </c>
      <c r="C207" s="7" t="s">
        <v>775</v>
      </c>
      <c r="D207" s="67"/>
      <c r="E207" s="67"/>
      <c r="F207" s="50">
        <v>0.375</v>
      </c>
      <c r="G207" s="50">
        <f t="shared" si="19"/>
        <v>0.33500000000000002</v>
      </c>
      <c r="H207" s="8">
        <v>6000</v>
      </c>
      <c r="I207" s="19">
        <v>2</v>
      </c>
      <c r="J207" s="19"/>
      <c r="K207" s="189" t="s">
        <v>518</v>
      </c>
    </row>
    <row r="208" spans="2:11" s="6" customFormat="1" ht="12">
      <c r="B208" s="192">
        <v>215019</v>
      </c>
      <c r="C208" s="7" t="s">
        <v>774</v>
      </c>
      <c r="D208" s="67"/>
      <c r="E208" s="67"/>
      <c r="F208" s="50">
        <v>0.22</v>
      </c>
      <c r="G208" s="50">
        <f t="shared" si="19"/>
        <v>0.18</v>
      </c>
      <c r="H208" s="8">
        <v>5000</v>
      </c>
      <c r="I208" s="19"/>
      <c r="J208" s="19">
        <v>5</v>
      </c>
      <c r="K208" s="143" t="s">
        <v>643</v>
      </c>
    </row>
    <row r="209" spans="2:11" s="6" customFormat="1" ht="12">
      <c r="B209" s="192">
        <v>215020</v>
      </c>
      <c r="C209" s="7" t="s">
        <v>482</v>
      </c>
      <c r="D209" s="67"/>
      <c r="E209" s="67"/>
      <c r="F209" s="50">
        <v>0.129</v>
      </c>
      <c r="G209" s="50">
        <f t="shared" si="19"/>
        <v>8.8999999999999996E-2</v>
      </c>
      <c r="H209" s="8">
        <v>5000</v>
      </c>
      <c r="I209" s="19"/>
      <c r="J209" s="19">
        <v>5</v>
      </c>
      <c r="K209" s="143" t="s">
        <v>643</v>
      </c>
    </row>
    <row r="210" spans="2:11" s="6" customFormat="1" ht="12">
      <c r="B210" s="192">
        <v>215021</v>
      </c>
      <c r="C210" s="7" t="s">
        <v>870</v>
      </c>
      <c r="D210" s="67" t="s">
        <v>871</v>
      </c>
      <c r="E210" s="67" t="s">
        <v>301</v>
      </c>
      <c r="F210" s="50">
        <v>0.108</v>
      </c>
      <c r="G210" s="50">
        <f t="shared" si="19"/>
        <v>6.8000000000000005E-2</v>
      </c>
      <c r="H210" s="8">
        <v>4000</v>
      </c>
      <c r="I210" s="19"/>
      <c r="J210" s="207" t="s">
        <v>488</v>
      </c>
      <c r="K210" s="189" t="s">
        <v>518</v>
      </c>
    </row>
    <row r="211" spans="2:11" s="6" customFormat="1" ht="12">
      <c r="B211" s="192">
        <v>215022</v>
      </c>
      <c r="C211" s="7" t="s">
        <v>773</v>
      </c>
      <c r="D211" s="67" t="s">
        <v>481</v>
      </c>
      <c r="E211" s="67"/>
      <c r="F211" s="50">
        <v>0.16700000000000001</v>
      </c>
      <c r="G211" s="50">
        <f t="shared" si="19"/>
        <v>0.127</v>
      </c>
      <c r="H211" s="8">
        <v>3000</v>
      </c>
      <c r="I211" s="19">
        <v>5</v>
      </c>
      <c r="J211" s="19"/>
      <c r="K211" s="110" t="s">
        <v>642</v>
      </c>
    </row>
    <row r="212" spans="2:11" s="6" customFormat="1" ht="12">
      <c r="B212" s="192">
        <v>215026</v>
      </c>
      <c r="C212" s="7" t="s">
        <v>772</v>
      </c>
      <c r="D212" s="67"/>
      <c r="E212" s="67"/>
      <c r="F212" s="50">
        <v>0.20799999999999999</v>
      </c>
      <c r="G212" s="50">
        <f t="shared" si="19"/>
        <v>0.16799999999999998</v>
      </c>
      <c r="H212" s="8">
        <v>2000</v>
      </c>
      <c r="I212" s="19"/>
      <c r="J212" s="19">
        <v>6</v>
      </c>
      <c r="K212" s="110" t="s">
        <v>642</v>
      </c>
    </row>
    <row r="213" spans="2:11" s="6" customFormat="1" ht="12">
      <c r="B213" s="192">
        <v>215027</v>
      </c>
      <c r="C213" s="7" t="s">
        <v>771</v>
      </c>
      <c r="D213" s="67"/>
      <c r="E213" s="67"/>
      <c r="F213" s="50">
        <v>0.20799999999999999</v>
      </c>
      <c r="G213" s="50">
        <f t="shared" si="19"/>
        <v>0.16799999999999998</v>
      </c>
      <c r="H213" s="8">
        <v>2000</v>
      </c>
      <c r="I213" s="19"/>
      <c r="J213" s="19">
        <v>6</v>
      </c>
      <c r="K213" s="110" t="s">
        <v>642</v>
      </c>
    </row>
    <row r="214" spans="2:11" s="6" customFormat="1" ht="12">
      <c r="B214" s="192">
        <v>215029</v>
      </c>
      <c r="C214" s="7" t="s">
        <v>486</v>
      </c>
      <c r="D214" s="67"/>
      <c r="E214" s="67" t="s">
        <v>301</v>
      </c>
      <c r="F214" s="50">
        <v>0.161</v>
      </c>
      <c r="G214" s="50">
        <f t="shared" si="19"/>
        <v>0.121</v>
      </c>
      <c r="H214" s="8">
        <v>4000</v>
      </c>
      <c r="I214" s="19"/>
      <c r="J214" s="19">
        <v>4</v>
      </c>
      <c r="K214" s="189" t="s">
        <v>518</v>
      </c>
    </row>
    <row r="215" spans="2:11" s="6" customFormat="1" ht="12">
      <c r="B215" s="192">
        <v>215030</v>
      </c>
      <c r="C215" s="7" t="s">
        <v>487</v>
      </c>
      <c r="D215" s="67"/>
      <c r="E215" s="67"/>
      <c r="F215" s="50">
        <v>0.17699999999999999</v>
      </c>
      <c r="G215" s="50">
        <f t="shared" si="19"/>
        <v>0.13699999999999998</v>
      </c>
      <c r="H215" s="8">
        <v>6000</v>
      </c>
      <c r="I215" s="19">
        <v>12</v>
      </c>
      <c r="J215" s="19"/>
      <c r="K215" s="189" t="s">
        <v>518</v>
      </c>
    </row>
    <row r="216" spans="2:11" s="6" customFormat="1" ht="12">
      <c r="B216" s="192">
        <v>215032</v>
      </c>
      <c r="C216" s="7" t="s">
        <v>770</v>
      </c>
      <c r="D216" s="67" t="s">
        <v>504</v>
      </c>
      <c r="E216" s="67" t="s">
        <v>301</v>
      </c>
      <c r="F216" s="50">
        <v>0.193</v>
      </c>
      <c r="G216" s="50">
        <f t="shared" si="19"/>
        <v>0.153</v>
      </c>
      <c r="H216" s="8">
        <v>6000</v>
      </c>
      <c r="I216" s="19"/>
      <c r="J216" s="19">
        <v>6</v>
      </c>
      <c r="K216" s="143" t="s">
        <v>643</v>
      </c>
    </row>
    <row r="217" spans="2:11" s="6" customFormat="1" ht="12">
      <c r="B217" s="192">
        <v>215033</v>
      </c>
      <c r="C217" s="7" t="s">
        <v>769</v>
      </c>
      <c r="D217" s="67"/>
      <c r="E217" s="67"/>
      <c r="F217" s="50">
        <v>0.27700000000000002</v>
      </c>
      <c r="G217" s="50">
        <f t="shared" si="19"/>
        <v>0.23700000000000002</v>
      </c>
      <c r="H217" s="8">
        <v>5000</v>
      </c>
      <c r="I217" s="19">
        <v>5</v>
      </c>
      <c r="J217" s="19"/>
      <c r="K217" s="189" t="s">
        <v>518</v>
      </c>
    </row>
    <row r="218" spans="2:11" s="6" customFormat="1" ht="12">
      <c r="B218" s="192">
        <v>205001</v>
      </c>
      <c r="C218" s="7" t="s">
        <v>768</v>
      </c>
      <c r="D218" s="67" t="s">
        <v>684</v>
      </c>
      <c r="E218" s="67"/>
      <c r="F218" s="50">
        <v>0.14399999999999999</v>
      </c>
      <c r="G218" s="50">
        <f t="shared" si="19"/>
        <v>0.10399999999999998</v>
      </c>
      <c r="H218" s="8">
        <v>3000</v>
      </c>
      <c r="I218" s="19">
        <v>5</v>
      </c>
      <c r="J218" s="19">
        <v>6</v>
      </c>
      <c r="K218" s="143" t="s">
        <v>643</v>
      </c>
    </row>
    <row r="219" spans="2:11" s="6" customFormat="1" ht="12">
      <c r="B219" s="192">
        <v>205003</v>
      </c>
      <c r="C219" s="7" t="s">
        <v>767</v>
      </c>
      <c r="D219" s="67"/>
      <c r="E219" s="67"/>
      <c r="F219" s="50">
        <v>0.104</v>
      </c>
      <c r="G219" s="50">
        <f t="shared" si="19"/>
        <v>6.4000000000000001E-2</v>
      </c>
      <c r="H219" s="8">
        <v>4000</v>
      </c>
      <c r="I219" s="19" t="s">
        <v>107</v>
      </c>
      <c r="J219" s="19"/>
      <c r="K219" s="189" t="s">
        <v>518</v>
      </c>
    </row>
    <row r="220" spans="2:11" s="6" customFormat="1" ht="12">
      <c r="B220" s="192">
        <v>205004</v>
      </c>
      <c r="C220" s="7" t="s">
        <v>766</v>
      </c>
      <c r="D220" s="67"/>
      <c r="E220" s="67"/>
      <c r="F220" s="50">
        <v>0.104</v>
      </c>
      <c r="G220" s="50">
        <f t="shared" si="19"/>
        <v>6.4000000000000001E-2</v>
      </c>
      <c r="H220" s="8">
        <v>4000</v>
      </c>
      <c r="I220" s="19" t="s">
        <v>107</v>
      </c>
      <c r="J220" s="19"/>
      <c r="K220" s="110" t="s">
        <v>642</v>
      </c>
    </row>
    <row r="221" spans="2:11" s="6" customFormat="1" ht="12">
      <c r="B221" s="192">
        <v>205007</v>
      </c>
      <c r="C221" s="7" t="s">
        <v>765</v>
      </c>
      <c r="D221" s="67"/>
      <c r="E221" s="67"/>
      <c r="F221" s="50">
        <v>0.19800000000000001</v>
      </c>
      <c r="G221" s="50">
        <f t="shared" si="19"/>
        <v>0.158</v>
      </c>
      <c r="H221" s="8">
        <v>6000</v>
      </c>
      <c r="I221" s="19">
        <v>6</v>
      </c>
      <c r="J221" s="19"/>
      <c r="K221" s="189" t="s">
        <v>518</v>
      </c>
    </row>
    <row r="222" spans="2:11" s="6" customFormat="1" ht="12">
      <c r="B222" s="192">
        <v>195001</v>
      </c>
      <c r="C222" s="7" t="s">
        <v>764</v>
      </c>
      <c r="D222" s="68" t="s">
        <v>373</v>
      </c>
      <c r="E222" s="67" t="s">
        <v>301</v>
      </c>
      <c r="F222" s="50">
        <v>0.22600000000000001</v>
      </c>
      <c r="G222" s="50">
        <f t="shared" si="19"/>
        <v>0.186</v>
      </c>
      <c r="H222" s="8">
        <v>5000</v>
      </c>
      <c r="I222" s="19" t="s">
        <v>107</v>
      </c>
      <c r="J222" s="19" t="s">
        <v>107</v>
      </c>
      <c r="K222" s="189" t="s">
        <v>518</v>
      </c>
    </row>
    <row r="223" spans="2:11" s="6" customFormat="1" ht="12">
      <c r="B223" s="192">
        <v>195003</v>
      </c>
      <c r="C223" s="7" t="s">
        <v>446</v>
      </c>
      <c r="D223" s="67"/>
      <c r="E223" s="67"/>
      <c r="F223" s="50">
        <v>0.22900000000000001</v>
      </c>
      <c r="G223" s="50">
        <f t="shared" si="19"/>
        <v>0.189</v>
      </c>
      <c r="H223" s="8">
        <v>3000</v>
      </c>
      <c r="I223" s="19">
        <v>6</v>
      </c>
      <c r="J223" s="19"/>
      <c r="K223" s="143" t="s">
        <v>643</v>
      </c>
    </row>
    <row r="224" spans="2:11" s="6" customFormat="1" ht="12">
      <c r="B224" s="192">
        <v>195005</v>
      </c>
      <c r="C224" s="7" t="s">
        <v>763</v>
      </c>
      <c r="D224" s="68" t="s">
        <v>286</v>
      </c>
      <c r="E224" s="67"/>
      <c r="F224" s="50">
        <v>0.22900000000000001</v>
      </c>
      <c r="G224" s="59" t="s">
        <v>337</v>
      </c>
      <c r="H224" s="8">
        <v>6000</v>
      </c>
      <c r="I224" s="19">
        <v>6</v>
      </c>
      <c r="J224" s="19"/>
      <c r="K224" s="110" t="s">
        <v>127</v>
      </c>
    </row>
    <row r="225" spans="2:11" s="6" customFormat="1" ht="12">
      <c r="B225" s="192">
        <v>195006</v>
      </c>
      <c r="C225" s="7" t="s">
        <v>377</v>
      </c>
      <c r="D225" s="67"/>
      <c r="E225" s="67" t="s">
        <v>301</v>
      </c>
      <c r="F225" s="50">
        <v>0.23300000000000001</v>
      </c>
      <c r="G225" s="50">
        <f t="shared" si="19"/>
        <v>0.193</v>
      </c>
      <c r="H225" s="8">
        <v>5000</v>
      </c>
      <c r="I225" s="19">
        <v>9</v>
      </c>
      <c r="J225" s="19"/>
      <c r="K225" s="189" t="s">
        <v>518</v>
      </c>
    </row>
    <row r="226" spans="2:11" s="6" customFormat="1" ht="12">
      <c r="B226" s="192">
        <v>195007</v>
      </c>
      <c r="C226" s="7" t="s">
        <v>378</v>
      </c>
      <c r="D226" s="67"/>
      <c r="E226" s="67" t="s">
        <v>301</v>
      </c>
      <c r="F226" s="50">
        <v>0.13500000000000001</v>
      </c>
      <c r="G226" s="50">
        <f t="shared" si="19"/>
        <v>9.5000000000000001E-2</v>
      </c>
      <c r="H226" s="8">
        <v>10000</v>
      </c>
      <c r="I226" s="19">
        <v>20</v>
      </c>
      <c r="J226" s="19"/>
      <c r="K226" s="189" t="s">
        <v>518</v>
      </c>
    </row>
    <row r="227" spans="2:11" s="6" customFormat="1" ht="12">
      <c r="B227" s="192">
        <v>195008</v>
      </c>
      <c r="C227" s="7" t="s">
        <v>379</v>
      </c>
      <c r="D227" s="68"/>
      <c r="E227" s="67" t="s">
        <v>301</v>
      </c>
      <c r="F227" s="50">
        <v>0.13800000000000001</v>
      </c>
      <c r="G227" s="50">
        <f t="shared" si="19"/>
        <v>9.8000000000000004E-2</v>
      </c>
      <c r="H227" s="8">
        <v>6000</v>
      </c>
      <c r="I227" s="19">
        <v>16</v>
      </c>
      <c r="J227" s="19"/>
      <c r="K227" s="143" t="s">
        <v>643</v>
      </c>
    </row>
    <row r="228" spans="2:11" s="6" customFormat="1" ht="12">
      <c r="B228" s="192">
        <v>195010</v>
      </c>
      <c r="C228" s="7" t="s">
        <v>762</v>
      </c>
      <c r="D228" s="67"/>
      <c r="E228" s="67" t="s">
        <v>301</v>
      </c>
      <c r="F228" s="50">
        <v>0.192</v>
      </c>
      <c r="G228" s="50">
        <f t="shared" si="19"/>
        <v>0.152</v>
      </c>
      <c r="H228" s="8">
        <v>6000</v>
      </c>
      <c r="I228" s="19">
        <v>12</v>
      </c>
      <c r="J228" s="19"/>
      <c r="K228" s="143" t="s">
        <v>643</v>
      </c>
    </row>
    <row r="229" spans="2:11" s="6" customFormat="1" ht="12">
      <c r="B229" s="192">
        <v>195011</v>
      </c>
      <c r="C229" s="7" t="s">
        <v>761</v>
      </c>
      <c r="D229" s="67"/>
      <c r="E229" s="67"/>
      <c r="F229" s="50">
        <v>0.15</v>
      </c>
      <c r="G229" s="50">
        <f t="shared" si="19"/>
        <v>0.10999999999999999</v>
      </c>
      <c r="H229" s="8">
        <v>4000</v>
      </c>
      <c r="I229" s="19">
        <v>4</v>
      </c>
      <c r="J229" s="19"/>
      <c r="K229" s="143" t="s">
        <v>643</v>
      </c>
    </row>
    <row r="230" spans="2:11" s="6" customFormat="1" ht="12">
      <c r="B230" s="192">
        <v>195013</v>
      </c>
      <c r="C230" s="7" t="s">
        <v>877</v>
      </c>
      <c r="D230" s="67"/>
      <c r="E230" s="67" t="s">
        <v>301</v>
      </c>
      <c r="F230" s="50">
        <v>0.17399999999999999</v>
      </c>
      <c r="G230" s="50">
        <f t="shared" si="19"/>
        <v>0.13399999999999998</v>
      </c>
      <c r="H230" s="8">
        <v>5000</v>
      </c>
      <c r="I230" s="19">
        <v>5</v>
      </c>
      <c r="J230" s="19"/>
      <c r="K230" s="143" t="s">
        <v>643</v>
      </c>
    </row>
    <row r="231" spans="2:11" s="6" customFormat="1" ht="12">
      <c r="B231" s="192">
        <v>195014</v>
      </c>
      <c r="C231" s="7" t="s">
        <v>386</v>
      </c>
      <c r="D231" s="67"/>
      <c r="E231" s="67" t="s">
        <v>301</v>
      </c>
      <c r="F231" s="50">
        <v>0.161</v>
      </c>
      <c r="G231" s="50">
        <f t="shared" si="19"/>
        <v>0.121</v>
      </c>
      <c r="H231" s="8">
        <v>4000</v>
      </c>
      <c r="I231" s="19"/>
      <c r="J231" s="19">
        <v>4</v>
      </c>
      <c r="K231" s="143" t="s">
        <v>643</v>
      </c>
    </row>
    <row r="232" spans="2:11" s="6" customFormat="1" ht="12">
      <c r="B232" s="192">
        <v>195016</v>
      </c>
      <c r="C232" s="7" t="s">
        <v>385</v>
      </c>
      <c r="D232" s="67"/>
      <c r="E232" s="67" t="s">
        <v>301</v>
      </c>
      <c r="F232" s="50">
        <v>0.22900000000000001</v>
      </c>
      <c r="G232" s="50">
        <f>F232-0.04</f>
        <v>0.189</v>
      </c>
      <c r="H232" s="8">
        <v>5000</v>
      </c>
      <c r="I232" s="19"/>
      <c r="J232" s="19">
        <v>7</v>
      </c>
      <c r="K232" s="143" t="s">
        <v>643</v>
      </c>
    </row>
    <row r="233" spans="2:11" s="6" customFormat="1" ht="12">
      <c r="B233" s="192">
        <v>195017</v>
      </c>
      <c r="C233" s="7" t="s">
        <v>760</v>
      </c>
      <c r="D233" s="67"/>
      <c r="E233" s="67"/>
      <c r="F233" s="50">
        <v>0.108</v>
      </c>
      <c r="G233" s="50">
        <f t="shared" ref="G233" si="20">F233-0.04</f>
        <v>6.8000000000000005E-2</v>
      </c>
      <c r="H233" s="8">
        <v>10000</v>
      </c>
      <c r="I233" s="19">
        <v>12</v>
      </c>
      <c r="J233" s="19"/>
      <c r="K233" s="143" t="s">
        <v>643</v>
      </c>
    </row>
    <row r="234" spans="2:11" s="6" customFormat="1" ht="12">
      <c r="B234" s="192">
        <v>195018</v>
      </c>
      <c r="C234" s="7" t="s">
        <v>759</v>
      </c>
      <c r="D234" s="67" t="s">
        <v>932</v>
      </c>
      <c r="E234" s="67" t="s">
        <v>301</v>
      </c>
      <c r="F234" s="50">
        <v>0.14799999999999999</v>
      </c>
      <c r="G234" s="106">
        <f t="shared" ref="G234" si="21">F234-0.08</f>
        <v>6.7999999999999991E-2</v>
      </c>
      <c r="H234" s="8">
        <v>5000</v>
      </c>
      <c r="I234" s="19">
        <v>14</v>
      </c>
      <c r="J234" s="19">
        <v>4</v>
      </c>
      <c r="K234" s="143" t="s">
        <v>643</v>
      </c>
    </row>
    <row r="235" spans="2:11" s="6" customFormat="1" ht="12">
      <c r="B235" s="192">
        <v>195019</v>
      </c>
      <c r="C235" s="7" t="s">
        <v>758</v>
      </c>
      <c r="D235" s="68" t="s">
        <v>534</v>
      </c>
      <c r="E235" s="67" t="s">
        <v>301</v>
      </c>
      <c r="F235" s="59" t="s">
        <v>337</v>
      </c>
      <c r="G235" s="50">
        <v>0.18</v>
      </c>
      <c r="H235" s="8">
        <v>4000</v>
      </c>
      <c r="I235" s="19"/>
      <c r="J235" s="19"/>
      <c r="K235" s="110" t="s">
        <v>127</v>
      </c>
    </row>
    <row r="236" spans="2:11" s="6" customFormat="1" ht="12">
      <c r="B236" s="192">
        <v>195021</v>
      </c>
      <c r="C236" s="7" t="s">
        <v>757</v>
      </c>
      <c r="D236" s="67"/>
      <c r="E236" s="67" t="s">
        <v>301</v>
      </c>
      <c r="F236" s="50">
        <v>0.21</v>
      </c>
      <c r="G236" s="50">
        <f t="shared" ref="G236:G238" si="22">F236-0.04</f>
        <v>0.16999999999999998</v>
      </c>
      <c r="H236" s="8">
        <v>6000</v>
      </c>
      <c r="I236" s="19">
        <v>6</v>
      </c>
      <c r="J236" s="19"/>
      <c r="K236" s="110" t="s">
        <v>520</v>
      </c>
    </row>
    <row r="237" spans="2:11" s="6" customFormat="1" ht="12">
      <c r="B237" s="192">
        <v>195022</v>
      </c>
      <c r="C237" s="7" t="s">
        <v>756</v>
      </c>
      <c r="D237" s="67" t="s">
        <v>543</v>
      </c>
      <c r="E237" s="67" t="s">
        <v>301</v>
      </c>
      <c r="F237" s="50">
        <v>0.108</v>
      </c>
      <c r="G237" s="50">
        <f t="shared" si="22"/>
        <v>6.8000000000000005E-2</v>
      </c>
      <c r="H237" s="8">
        <v>10000</v>
      </c>
      <c r="I237" s="19"/>
      <c r="J237" s="19">
        <v>10</v>
      </c>
      <c r="K237" s="143" t="s">
        <v>643</v>
      </c>
    </row>
    <row r="238" spans="2:11" s="6" customFormat="1" ht="12">
      <c r="B238" s="192">
        <v>195023</v>
      </c>
      <c r="C238" s="7" t="s">
        <v>397</v>
      </c>
      <c r="D238" s="67" t="s">
        <v>543</v>
      </c>
      <c r="E238" s="67" t="s">
        <v>301</v>
      </c>
      <c r="F238" s="50">
        <v>0.28999999999999998</v>
      </c>
      <c r="G238" s="50">
        <f t="shared" si="22"/>
        <v>0.24999999999999997</v>
      </c>
      <c r="H238" s="8">
        <v>4000</v>
      </c>
      <c r="I238" s="19"/>
      <c r="J238" s="19">
        <v>4</v>
      </c>
      <c r="K238" s="189" t="s">
        <v>642</v>
      </c>
    </row>
    <row r="239" spans="2:11" s="6" customFormat="1" ht="12">
      <c r="B239" s="192">
        <v>195024</v>
      </c>
      <c r="C239" s="7" t="s">
        <v>755</v>
      </c>
      <c r="D239" s="68" t="s">
        <v>286</v>
      </c>
      <c r="E239" s="67"/>
      <c r="F239" s="59" t="s">
        <v>337</v>
      </c>
      <c r="G239" s="50">
        <v>0.14000000000000001</v>
      </c>
      <c r="H239" s="8">
        <v>6000</v>
      </c>
      <c r="I239" s="19">
        <v>6</v>
      </c>
      <c r="J239" s="19"/>
      <c r="K239" s="110" t="s">
        <v>127</v>
      </c>
    </row>
    <row r="240" spans="2:11" s="6" customFormat="1" ht="12">
      <c r="B240" s="192">
        <v>195025</v>
      </c>
      <c r="C240" s="7" t="s">
        <v>754</v>
      </c>
      <c r="D240" s="67" t="s">
        <v>399</v>
      </c>
      <c r="E240" s="67" t="s">
        <v>301</v>
      </c>
      <c r="F240" s="50">
        <v>0.28999999999999998</v>
      </c>
      <c r="G240" s="50">
        <f>F240-0.04</f>
        <v>0.24999999999999997</v>
      </c>
      <c r="H240" s="8">
        <v>8000</v>
      </c>
      <c r="I240" s="19">
        <v>8</v>
      </c>
      <c r="J240" s="19"/>
      <c r="K240" s="189" t="s">
        <v>642</v>
      </c>
    </row>
    <row r="241" spans="2:11" s="6" customFormat="1" ht="12">
      <c r="B241" s="192">
        <v>195026</v>
      </c>
      <c r="C241" s="7" t="s">
        <v>753</v>
      </c>
      <c r="D241" s="67"/>
      <c r="E241" s="67" t="s">
        <v>301</v>
      </c>
      <c r="F241" s="50">
        <v>0.219</v>
      </c>
      <c r="G241" s="50">
        <f t="shared" ref="G241:G246" si="23">F241-0.04</f>
        <v>0.17899999999999999</v>
      </c>
      <c r="H241" s="8">
        <v>5000</v>
      </c>
      <c r="I241" s="19" t="s">
        <v>107</v>
      </c>
      <c r="J241" s="19"/>
      <c r="K241" s="143" t="s">
        <v>643</v>
      </c>
    </row>
    <row r="242" spans="2:11" s="6" customFormat="1" ht="12">
      <c r="B242" s="192">
        <v>195028</v>
      </c>
      <c r="C242" s="7" t="s">
        <v>752</v>
      </c>
      <c r="D242" s="67" t="s">
        <v>398</v>
      </c>
      <c r="E242" s="67"/>
      <c r="F242" s="50">
        <v>0.188</v>
      </c>
      <c r="G242" s="50">
        <f t="shared" si="23"/>
        <v>0.14799999999999999</v>
      </c>
      <c r="H242" s="8">
        <v>6000</v>
      </c>
      <c r="I242" s="19"/>
      <c r="J242" s="19">
        <v>6</v>
      </c>
      <c r="K242" s="143" t="s">
        <v>643</v>
      </c>
    </row>
    <row r="243" spans="2:11" s="6" customFormat="1" ht="12">
      <c r="B243" s="192">
        <v>195029</v>
      </c>
      <c r="C243" s="7" t="s">
        <v>751</v>
      </c>
      <c r="D243" s="67"/>
      <c r="E243" s="67"/>
      <c r="F243" s="50">
        <v>0.13500000000000001</v>
      </c>
      <c r="G243" s="50">
        <f t="shared" si="23"/>
        <v>9.5000000000000001E-2</v>
      </c>
      <c r="H243" s="8">
        <v>6000</v>
      </c>
      <c r="I243" s="19">
        <v>20</v>
      </c>
      <c r="J243" s="19"/>
      <c r="K243" s="143" t="s">
        <v>643</v>
      </c>
    </row>
    <row r="244" spans="2:11" s="6" customFormat="1" ht="12">
      <c r="B244" s="192">
        <v>195032</v>
      </c>
      <c r="C244" s="7" t="s">
        <v>412</v>
      </c>
      <c r="D244" s="67"/>
      <c r="E244" s="67" t="s">
        <v>301</v>
      </c>
      <c r="F244" s="50">
        <v>0.125</v>
      </c>
      <c r="G244" s="50">
        <f t="shared" si="23"/>
        <v>8.4999999999999992E-2</v>
      </c>
      <c r="H244" s="8">
        <v>13000</v>
      </c>
      <c r="I244" s="19" t="s">
        <v>434</v>
      </c>
      <c r="J244" s="19"/>
      <c r="K244" s="143" t="s">
        <v>643</v>
      </c>
    </row>
    <row r="245" spans="2:11" s="6" customFormat="1" ht="12">
      <c r="B245" s="192">
        <v>195033</v>
      </c>
      <c r="C245" s="7" t="s">
        <v>444</v>
      </c>
      <c r="D245" s="67"/>
      <c r="E245" s="67"/>
      <c r="F245" s="50">
        <v>0.104</v>
      </c>
      <c r="G245" s="50">
        <f t="shared" si="23"/>
        <v>6.4000000000000001E-2</v>
      </c>
      <c r="H245" s="8">
        <v>6000</v>
      </c>
      <c r="I245" s="19">
        <v>4</v>
      </c>
      <c r="J245" s="19"/>
      <c r="K245" s="143" t="s">
        <v>643</v>
      </c>
    </row>
    <row r="246" spans="2:11" s="6" customFormat="1" ht="12">
      <c r="B246" s="192">
        <v>195034</v>
      </c>
      <c r="C246" s="7" t="s">
        <v>750</v>
      </c>
      <c r="D246" s="67"/>
      <c r="E246" s="67"/>
      <c r="F246" s="50">
        <v>0.121</v>
      </c>
      <c r="G246" s="50">
        <f t="shared" si="23"/>
        <v>8.0999999999999989E-2</v>
      </c>
      <c r="H246" s="8">
        <v>10000</v>
      </c>
      <c r="I246" s="19">
        <v>6</v>
      </c>
      <c r="J246" s="19"/>
      <c r="K246" s="143" t="s">
        <v>643</v>
      </c>
    </row>
    <row r="247" spans="2:11" s="6" customFormat="1" ht="12">
      <c r="B247" s="192">
        <v>195037</v>
      </c>
      <c r="C247" s="7" t="s">
        <v>749</v>
      </c>
      <c r="D247" s="67"/>
      <c r="E247" s="67" t="s">
        <v>301</v>
      </c>
      <c r="F247" s="50">
        <v>0.27700000000000002</v>
      </c>
      <c r="G247" s="50">
        <f>F247-0.04</f>
        <v>0.23700000000000002</v>
      </c>
      <c r="H247" s="8">
        <v>4000</v>
      </c>
      <c r="I247" s="19">
        <v>12</v>
      </c>
      <c r="J247" s="19"/>
      <c r="K247" s="143" t="s">
        <v>643</v>
      </c>
    </row>
    <row r="248" spans="2:11" s="6" customFormat="1" ht="12">
      <c r="B248" s="192">
        <v>195038</v>
      </c>
      <c r="C248" s="7" t="s">
        <v>748</v>
      </c>
      <c r="D248" s="67"/>
      <c r="E248" s="67"/>
      <c r="F248" s="50">
        <v>0.27</v>
      </c>
      <c r="G248" s="50">
        <f t="shared" ref="G248:G254" si="24">F248-0.04</f>
        <v>0.23</v>
      </c>
      <c r="H248" s="8">
        <v>6000</v>
      </c>
      <c r="I248" s="19">
        <v>12</v>
      </c>
      <c r="J248" s="19"/>
      <c r="K248" s="143" t="s">
        <v>643</v>
      </c>
    </row>
    <row r="249" spans="2:11" s="6" customFormat="1" ht="12">
      <c r="B249" s="192">
        <v>195039</v>
      </c>
      <c r="C249" s="7" t="s">
        <v>747</v>
      </c>
      <c r="D249" s="67"/>
      <c r="E249" s="67" t="s">
        <v>301</v>
      </c>
      <c r="F249" s="50">
        <v>0.25600000000000001</v>
      </c>
      <c r="G249" s="50">
        <f t="shared" si="24"/>
        <v>0.216</v>
      </c>
      <c r="H249" s="8">
        <v>3000</v>
      </c>
      <c r="I249" s="19"/>
      <c r="J249" s="19">
        <v>6</v>
      </c>
      <c r="K249" s="143" t="s">
        <v>643</v>
      </c>
    </row>
    <row r="250" spans="2:11" s="6" customFormat="1" ht="12">
      <c r="B250" s="192">
        <v>195041</v>
      </c>
      <c r="C250" s="7" t="s">
        <v>438</v>
      </c>
      <c r="D250" s="67"/>
      <c r="E250" s="67" t="s">
        <v>301</v>
      </c>
      <c r="F250" s="50">
        <v>0.14000000000000001</v>
      </c>
      <c r="G250" s="50">
        <f t="shared" si="24"/>
        <v>0.1</v>
      </c>
      <c r="H250" s="8">
        <v>6000</v>
      </c>
      <c r="I250" s="19">
        <v>6</v>
      </c>
      <c r="J250" s="19"/>
      <c r="K250" s="143" t="s">
        <v>643</v>
      </c>
    </row>
    <row r="251" spans="2:11" s="6" customFormat="1" ht="12">
      <c r="B251" s="192">
        <v>185001</v>
      </c>
      <c r="C251" s="7" t="s">
        <v>746</v>
      </c>
      <c r="D251" s="67"/>
      <c r="E251" s="67" t="s">
        <v>301</v>
      </c>
      <c r="F251" s="50">
        <v>0.219</v>
      </c>
      <c r="G251" s="50">
        <f t="shared" si="24"/>
        <v>0.17899999999999999</v>
      </c>
      <c r="H251" s="8">
        <v>6000</v>
      </c>
      <c r="I251" s="19"/>
      <c r="J251" s="19">
        <v>6</v>
      </c>
      <c r="K251" s="143" t="s">
        <v>643</v>
      </c>
    </row>
    <row r="252" spans="2:11" s="6" customFormat="1" ht="12">
      <c r="B252" s="192">
        <v>185002</v>
      </c>
      <c r="C252" s="7" t="s">
        <v>745</v>
      </c>
      <c r="D252" s="67"/>
      <c r="E252" s="67" t="s">
        <v>301</v>
      </c>
      <c r="F252" s="50">
        <v>0.129</v>
      </c>
      <c r="G252" s="50">
        <f t="shared" si="24"/>
        <v>8.8999999999999996E-2</v>
      </c>
      <c r="H252" s="8">
        <v>6000</v>
      </c>
      <c r="I252" s="19" t="s">
        <v>353</v>
      </c>
      <c r="J252" s="19"/>
      <c r="K252" s="143" t="s">
        <v>643</v>
      </c>
    </row>
    <row r="253" spans="2:11" s="6" customFormat="1" ht="12">
      <c r="B253" s="192">
        <v>185003</v>
      </c>
      <c r="C253" s="7" t="s">
        <v>744</v>
      </c>
      <c r="D253" s="67"/>
      <c r="E253" s="67"/>
      <c r="F253" s="50">
        <v>9.7000000000000003E-2</v>
      </c>
      <c r="G253" s="50">
        <f t="shared" si="24"/>
        <v>5.7000000000000002E-2</v>
      </c>
      <c r="H253" s="8">
        <v>4000</v>
      </c>
      <c r="I253" s="19">
        <v>8</v>
      </c>
      <c r="J253" s="19"/>
      <c r="K253" s="143" t="s">
        <v>643</v>
      </c>
    </row>
    <row r="254" spans="2:11" s="6" customFormat="1" ht="12">
      <c r="B254" s="192">
        <v>185012</v>
      </c>
      <c r="C254" s="7" t="s">
        <v>743</v>
      </c>
      <c r="D254" s="68"/>
      <c r="E254" s="67" t="s">
        <v>301</v>
      </c>
      <c r="F254" s="50">
        <v>0.22900000000000001</v>
      </c>
      <c r="G254" s="50">
        <f t="shared" si="24"/>
        <v>0.189</v>
      </c>
      <c r="H254" s="8">
        <v>6000</v>
      </c>
      <c r="I254" s="19"/>
      <c r="J254" s="19" t="s">
        <v>357</v>
      </c>
      <c r="K254" s="143" t="s">
        <v>643</v>
      </c>
    </row>
    <row r="255" spans="2:11" s="6" customFormat="1" ht="12">
      <c r="B255" s="192">
        <v>185013</v>
      </c>
      <c r="C255" s="7" t="s">
        <v>358</v>
      </c>
      <c r="D255" s="68" t="s">
        <v>286</v>
      </c>
      <c r="E255" s="67" t="s">
        <v>301</v>
      </c>
      <c r="F255" s="59" t="s">
        <v>337</v>
      </c>
      <c r="G255" s="50">
        <v>0.13500000000000001</v>
      </c>
      <c r="H255" s="8">
        <v>6000</v>
      </c>
      <c r="I255" s="19"/>
      <c r="J255" s="19">
        <v>6</v>
      </c>
      <c r="K255" s="110" t="s">
        <v>127</v>
      </c>
    </row>
    <row r="256" spans="2:11" s="6" customFormat="1" ht="12">
      <c r="B256" s="192">
        <v>185014</v>
      </c>
      <c r="C256" s="7" t="s">
        <v>742</v>
      </c>
      <c r="D256" s="67"/>
      <c r="E256" s="67"/>
      <c r="F256" s="50">
        <v>0.26700000000000002</v>
      </c>
      <c r="G256" s="50">
        <f>F256-0.04</f>
        <v>0.22700000000000001</v>
      </c>
      <c r="H256" s="8">
        <v>4000</v>
      </c>
      <c r="I256" s="19"/>
      <c r="J256" s="19">
        <v>7</v>
      </c>
      <c r="K256" s="143" t="s">
        <v>643</v>
      </c>
    </row>
    <row r="257" spans="2:11" s="6" customFormat="1" ht="12">
      <c r="B257" s="192">
        <v>185016</v>
      </c>
      <c r="C257" s="7" t="s">
        <v>741</v>
      </c>
      <c r="D257" s="67" t="s">
        <v>307</v>
      </c>
      <c r="E257" s="67"/>
      <c r="F257" s="50">
        <v>0.14399999999999999</v>
      </c>
      <c r="G257" s="50">
        <f t="shared" ref="G257:G259" si="25">F257-0.04</f>
        <v>0.10399999999999998</v>
      </c>
      <c r="H257" s="8">
        <v>6000</v>
      </c>
      <c r="I257" s="19"/>
      <c r="J257" s="19">
        <v>4</v>
      </c>
      <c r="K257" s="110" t="s">
        <v>520</v>
      </c>
    </row>
    <row r="258" spans="2:11" s="6" customFormat="1" ht="12">
      <c r="B258" s="192">
        <v>185021</v>
      </c>
      <c r="C258" s="7" t="s">
        <v>740</v>
      </c>
      <c r="D258" s="67"/>
      <c r="E258" s="67"/>
      <c r="F258" s="50">
        <v>0.16300000000000001</v>
      </c>
      <c r="G258" s="50">
        <f t="shared" si="25"/>
        <v>0.123</v>
      </c>
      <c r="H258" s="8">
        <v>6000</v>
      </c>
      <c r="I258" s="19">
        <v>4</v>
      </c>
      <c r="J258" s="19"/>
      <c r="K258" s="110" t="s">
        <v>520</v>
      </c>
    </row>
    <row r="259" spans="2:11" s="6" customFormat="1" ht="12">
      <c r="B259" s="192">
        <v>185024</v>
      </c>
      <c r="C259" s="7" t="s">
        <v>366</v>
      </c>
      <c r="D259" s="67" t="s">
        <v>307</v>
      </c>
      <c r="E259" s="67" t="s">
        <v>301</v>
      </c>
      <c r="F259" s="50">
        <v>0.161</v>
      </c>
      <c r="G259" s="50">
        <f t="shared" si="25"/>
        <v>0.121</v>
      </c>
      <c r="H259" s="8">
        <v>5000</v>
      </c>
      <c r="I259" s="19"/>
      <c r="J259" s="19">
        <v>5</v>
      </c>
      <c r="K259" s="143" t="s">
        <v>643</v>
      </c>
    </row>
    <row r="260" spans="2:11" s="6" customFormat="1" ht="12">
      <c r="B260" s="192">
        <v>185025</v>
      </c>
      <c r="C260" s="7" t="s">
        <v>367</v>
      </c>
      <c r="D260" s="68" t="s">
        <v>392</v>
      </c>
      <c r="E260" s="67" t="s">
        <v>301</v>
      </c>
      <c r="F260" s="59" t="s">
        <v>337</v>
      </c>
      <c r="G260" s="50">
        <v>0.14000000000000001</v>
      </c>
      <c r="H260" s="8">
        <v>6000</v>
      </c>
      <c r="I260" s="19">
        <v>2</v>
      </c>
      <c r="J260" s="19">
        <v>4</v>
      </c>
      <c r="K260" s="110" t="s">
        <v>127</v>
      </c>
    </row>
    <row r="261" spans="2:11" s="6" customFormat="1" ht="12">
      <c r="B261" s="192">
        <v>185030</v>
      </c>
      <c r="C261" s="7" t="s">
        <v>370</v>
      </c>
      <c r="D261" s="68"/>
      <c r="E261" s="188"/>
      <c r="F261" s="50">
        <v>0.14599999999999999</v>
      </c>
      <c r="G261" s="50">
        <f t="shared" ref="G261" si="26">F261-0.04</f>
        <v>0.10599999999999998</v>
      </c>
      <c r="H261" s="8">
        <v>4000</v>
      </c>
      <c r="I261" s="19"/>
      <c r="J261" s="19">
        <v>4</v>
      </c>
      <c r="K261" s="143" t="s">
        <v>643</v>
      </c>
    </row>
    <row r="262" spans="2:11" s="6" customFormat="1" ht="12">
      <c r="B262" s="192">
        <v>185034</v>
      </c>
      <c r="C262" s="7" t="s">
        <v>739</v>
      </c>
      <c r="D262" s="68"/>
      <c r="E262" s="188"/>
      <c r="F262" s="50">
        <v>0.215</v>
      </c>
      <c r="G262" s="50">
        <f>F262-0.04</f>
        <v>0.17499999999999999</v>
      </c>
      <c r="H262" s="8">
        <v>6000</v>
      </c>
      <c r="I262" s="19">
        <v>8</v>
      </c>
      <c r="J262" s="19"/>
      <c r="K262" s="143" t="s">
        <v>643</v>
      </c>
    </row>
    <row r="263" spans="2:11" s="6" customFormat="1" ht="12">
      <c r="B263" s="192">
        <v>185035</v>
      </c>
      <c r="C263" s="7" t="s">
        <v>738</v>
      </c>
      <c r="D263" s="68"/>
      <c r="E263" s="188"/>
      <c r="F263" s="50">
        <v>0.187</v>
      </c>
      <c r="G263" s="50">
        <f t="shared" ref="G263:G268" si="27">F263-0.04</f>
        <v>0.14699999999999999</v>
      </c>
      <c r="H263" s="8">
        <v>6000</v>
      </c>
      <c r="I263" s="19">
        <v>8</v>
      </c>
      <c r="J263" s="19"/>
      <c r="K263" s="143" t="s">
        <v>643</v>
      </c>
    </row>
    <row r="264" spans="2:11" s="6" customFormat="1" ht="12">
      <c r="B264" s="192">
        <v>185036</v>
      </c>
      <c r="C264" s="7" t="s">
        <v>737</v>
      </c>
      <c r="D264" s="68"/>
      <c r="E264" s="188"/>
      <c r="F264" s="50">
        <v>0.187</v>
      </c>
      <c r="G264" s="50">
        <f t="shared" si="27"/>
        <v>0.14699999999999999</v>
      </c>
      <c r="H264" s="8">
        <v>6000</v>
      </c>
      <c r="I264" s="19">
        <v>12</v>
      </c>
      <c r="J264" s="19"/>
      <c r="K264" s="143" t="s">
        <v>643</v>
      </c>
    </row>
    <row r="265" spans="2:11" s="6" customFormat="1" ht="12">
      <c r="B265" s="192">
        <v>175001</v>
      </c>
      <c r="C265" s="7" t="s">
        <v>735</v>
      </c>
      <c r="D265" s="67"/>
      <c r="E265" s="67"/>
      <c r="F265" s="50">
        <v>0.13500000000000001</v>
      </c>
      <c r="G265" s="50">
        <f t="shared" si="27"/>
        <v>9.5000000000000001E-2</v>
      </c>
      <c r="H265" s="8">
        <v>5000</v>
      </c>
      <c r="I265" s="19">
        <v>9</v>
      </c>
      <c r="J265" s="19"/>
      <c r="K265" s="143" t="s">
        <v>643</v>
      </c>
    </row>
    <row r="266" spans="2:11" s="6" customFormat="1" ht="12">
      <c r="B266" s="192">
        <v>175002</v>
      </c>
      <c r="C266" s="7" t="s">
        <v>318</v>
      </c>
      <c r="D266" s="67"/>
      <c r="E266" s="67"/>
      <c r="F266" s="50">
        <v>0.129</v>
      </c>
      <c r="G266" s="50">
        <f t="shared" si="27"/>
        <v>8.8999999999999996E-2</v>
      </c>
      <c r="H266" s="8">
        <v>10000</v>
      </c>
      <c r="I266" s="19">
        <v>4</v>
      </c>
      <c r="J266" s="19">
        <v>4</v>
      </c>
      <c r="K266" s="143" t="s">
        <v>643</v>
      </c>
    </row>
    <row r="267" spans="2:11" s="6" customFormat="1" ht="12">
      <c r="B267" s="192">
        <v>175004</v>
      </c>
      <c r="C267" s="7" t="s">
        <v>736</v>
      </c>
      <c r="D267" s="67"/>
      <c r="E267" s="67"/>
      <c r="F267" s="50">
        <v>0.16500000000000001</v>
      </c>
      <c r="G267" s="50">
        <f>F267-0.04</f>
        <v>0.125</v>
      </c>
      <c r="H267" s="8">
        <v>6000</v>
      </c>
      <c r="I267" s="19">
        <v>19</v>
      </c>
      <c r="J267" s="19"/>
      <c r="K267" s="143" t="s">
        <v>643</v>
      </c>
    </row>
    <row r="268" spans="2:11" s="6" customFormat="1" ht="12">
      <c r="B268" s="192">
        <v>175033</v>
      </c>
      <c r="C268" s="7" t="s">
        <v>685</v>
      </c>
      <c r="D268" s="67"/>
      <c r="E268" s="67"/>
      <c r="F268" s="50">
        <v>0.23300000000000001</v>
      </c>
      <c r="G268" s="50">
        <f t="shared" si="27"/>
        <v>0.193</v>
      </c>
      <c r="H268" s="8">
        <v>6000</v>
      </c>
      <c r="I268" s="19">
        <v>12</v>
      </c>
      <c r="J268" s="19"/>
      <c r="K268" s="143" t="s">
        <v>643</v>
      </c>
    </row>
    <row r="269" spans="2:11" s="6" customFormat="1" ht="12">
      <c r="B269" s="192">
        <v>175034</v>
      </c>
      <c r="C269" s="7" t="s">
        <v>686</v>
      </c>
      <c r="D269" s="67" t="s">
        <v>359</v>
      </c>
      <c r="E269" s="67"/>
      <c r="F269" s="50">
        <v>0.13800000000000001</v>
      </c>
      <c r="G269" s="59" t="s">
        <v>337</v>
      </c>
      <c r="H269" s="8">
        <v>9600</v>
      </c>
      <c r="I269" s="19"/>
      <c r="J269" s="19"/>
      <c r="K269" s="110" t="s">
        <v>338</v>
      </c>
    </row>
    <row r="270" spans="2:11" s="6" customFormat="1" ht="12">
      <c r="B270" s="192">
        <v>175056</v>
      </c>
      <c r="C270" s="7" t="s">
        <v>734</v>
      </c>
      <c r="D270" s="68"/>
      <c r="E270" s="67" t="s">
        <v>301</v>
      </c>
      <c r="F270" s="50">
        <v>0.13300000000000001</v>
      </c>
      <c r="G270" s="50">
        <f t="shared" ref="G270:G302" si="28">F270-0.04</f>
        <v>9.2999999999999999E-2</v>
      </c>
      <c r="H270" s="8">
        <v>6000</v>
      </c>
      <c r="I270" s="19">
        <v>6</v>
      </c>
      <c r="J270" s="19"/>
      <c r="K270" s="18" t="s">
        <v>643</v>
      </c>
    </row>
    <row r="271" spans="2:11" s="6" customFormat="1" ht="12">
      <c r="B271" s="192">
        <v>165086</v>
      </c>
      <c r="C271" s="7" t="s">
        <v>733</v>
      </c>
      <c r="D271" s="67"/>
      <c r="E271" s="67"/>
      <c r="F271" s="50">
        <v>0.154</v>
      </c>
      <c r="G271" s="50">
        <f t="shared" si="28"/>
        <v>0.11399999999999999</v>
      </c>
      <c r="H271" s="8">
        <v>3000</v>
      </c>
      <c r="I271" s="19">
        <v>3</v>
      </c>
      <c r="J271" s="19">
        <v>6</v>
      </c>
      <c r="K271" s="18" t="s">
        <v>643</v>
      </c>
    </row>
    <row r="272" spans="2:11" s="6" customFormat="1" ht="12">
      <c r="B272" s="192">
        <v>165087</v>
      </c>
      <c r="C272" s="7" t="s">
        <v>673</v>
      </c>
      <c r="D272" s="67"/>
      <c r="E272" s="67"/>
      <c r="F272" s="50">
        <v>9.2999999999999999E-2</v>
      </c>
      <c r="G272" s="50">
        <f t="shared" si="28"/>
        <v>5.2999999999999999E-2</v>
      </c>
      <c r="H272" s="8">
        <v>8000</v>
      </c>
      <c r="I272" s="19" t="s">
        <v>535</v>
      </c>
      <c r="J272" s="19"/>
      <c r="K272" s="18" t="s">
        <v>643</v>
      </c>
    </row>
    <row r="273" spans="2:11" s="6" customFormat="1" ht="12">
      <c r="B273" s="192">
        <v>165088</v>
      </c>
      <c r="C273" s="7" t="s">
        <v>933</v>
      </c>
      <c r="D273" s="67"/>
      <c r="E273" s="67"/>
      <c r="F273" s="50">
        <v>9.0999999999999998E-2</v>
      </c>
      <c r="G273" s="50">
        <f t="shared" si="28"/>
        <v>5.0999999999999997E-2</v>
      </c>
      <c r="H273" s="8">
        <v>5000</v>
      </c>
      <c r="I273" s="19"/>
      <c r="J273" s="19"/>
      <c r="K273" s="18" t="s">
        <v>643</v>
      </c>
    </row>
    <row r="274" spans="2:11" s="6" customFormat="1" ht="12">
      <c r="B274" s="192">
        <v>165092</v>
      </c>
      <c r="C274" s="7" t="s">
        <v>732</v>
      </c>
      <c r="D274" s="67"/>
      <c r="E274" s="67" t="s">
        <v>301</v>
      </c>
      <c r="F274" s="50">
        <v>0.129</v>
      </c>
      <c r="G274" s="50">
        <f t="shared" si="28"/>
        <v>8.8999999999999996E-2</v>
      </c>
      <c r="H274" s="8">
        <v>5000</v>
      </c>
      <c r="I274" s="19"/>
      <c r="J274" s="19">
        <v>5</v>
      </c>
      <c r="K274" s="139" t="s">
        <v>520</v>
      </c>
    </row>
    <row r="275" spans="2:11" s="6" customFormat="1" ht="12">
      <c r="B275" s="192">
        <v>165108</v>
      </c>
      <c r="C275" s="7" t="s">
        <v>314</v>
      </c>
      <c r="D275" s="68"/>
      <c r="E275" s="67"/>
      <c r="F275" s="50">
        <v>0.19700000000000001</v>
      </c>
      <c r="G275" s="50">
        <f t="shared" si="28"/>
        <v>0.157</v>
      </c>
      <c r="H275" s="8">
        <v>4000</v>
      </c>
      <c r="I275" s="19">
        <v>4</v>
      </c>
      <c r="J275" s="19"/>
      <c r="K275" s="189" t="s">
        <v>518</v>
      </c>
    </row>
    <row r="276" spans="2:11" s="6" customFormat="1" ht="12">
      <c r="B276" s="192">
        <v>155011</v>
      </c>
      <c r="C276" s="7" t="s">
        <v>442</v>
      </c>
      <c r="D276" s="67"/>
      <c r="E276" s="67"/>
      <c r="F276" s="50">
        <v>0.108</v>
      </c>
      <c r="G276" s="50">
        <f t="shared" si="28"/>
        <v>6.8000000000000005E-2</v>
      </c>
      <c r="H276" s="8">
        <v>10000</v>
      </c>
      <c r="I276" s="19">
        <v>7</v>
      </c>
      <c r="J276" s="19"/>
      <c r="K276" s="18" t="s">
        <v>643</v>
      </c>
    </row>
    <row r="277" spans="2:11" s="6" customFormat="1" ht="12">
      <c r="B277" s="192">
        <v>155032</v>
      </c>
      <c r="C277" s="7" t="s">
        <v>731</v>
      </c>
      <c r="D277" s="67"/>
      <c r="E277" s="67" t="s">
        <v>301</v>
      </c>
      <c r="F277" s="50">
        <v>0.25600000000000001</v>
      </c>
      <c r="G277" s="50">
        <f t="shared" si="28"/>
        <v>0.216</v>
      </c>
      <c r="H277" s="8">
        <v>5000</v>
      </c>
      <c r="I277" s="19" t="s">
        <v>535</v>
      </c>
      <c r="J277" s="19"/>
      <c r="K277" s="18" t="s">
        <v>643</v>
      </c>
    </row>
    <row r="278" spans="2:11" s="116" customFormat="1" ht="12">
      <c r="B278" s="192">
        <v>155049</v>
      </c>
      <c r="C278" s="7" t="s">
        <v>729</v>
      </c>
      <c r="D278" s="130"/>
      <c r="E278" s="112" t="s">
        <v>301</v>
      </c>
      <c r="F278" s="106">
        <v>0.16700000000000001</v>
      </c>
      <c r="G278" s="50">
        <f t="shared" si="28"/>
        <v>0.127</v>
      </c>
      <c r="H278" s="8">
        <v>5000</v>
      </c>
      <c r="I278" s="19">
        <v>4</v>
      </c>
      <c r="J278" s="19"/>
      <c r="K278" s="110" t="s">
        <v>520</v>
      </c>
    </row>
    <row r="279" spans="2:11" s="116" customFormat="1" ht="12">
      <c r="B279" s="140" t="s">
        <v>950</v>
      </c>
      <c r="C279" s="7" t="s">
        <v>730</v>
      </c>
      <c r="D279" s="130"/>
      <c r="E279" s="112"/>
      <c r="F279" s="106">
        <v>0.20799999999999999</v>
      </c>
      <c r="G279" s="50">
        <f t="shared" si="28"/>
        <v>0.16799999999999998</v>
      </c>
      <c r="H279" s="8">
        <v>5000</v>
      </c>
      <c r="I279" s="19">
        <v>4</v>
      </c>
      <c r="J279" s="19"/>
      <c r="K279" s="110" t="s">
        <v>520</v>
      </c>
    </row>
    <row r="280" spans="2:11" s="116" customFormat="1" ht="12">
      <c r="B280" s="192">
        <v>155055</v>
      </c>
      <c r="C280" s="7" t="s">
        <v>687</v>
      </c>
      <c r="D280" s="130"/>
      <c r="E280" s="112"/>
      <c r="F280" s="106">
        <v>0.11</v>
      </c>
      <c r="G280" s="50">
        <f t="shared" si="28"/>
        <v>7.0000000000000007E-2</v>
      </c>
      <c r="H280" s="8">
        <v>5000</v>
      </c>
      <c r="I280" s="19" t="s">
        <v>353</v>
      </c>
      <c r="J280" s="19"/>
      <c r="K280" s="18" t="s">
        <v>643</v>
      </c>
    </row>
    <row r="281" spans="2:11" s="6" customFormat="1" ht="12">
      <c r="B281" s="192" t="s">
        <v>13</v>
      </c>
      <c r="C281" s="7" t="s">
        <v>728</v>
      </c>
      <c r="D281" s="67" t="s">
        <v>297</v>
      </c>
      <c r="E281" s="67"/>
      <c r="F281" s="50">
        <v>0.224</v>
      </c>
      <c r="G281" s="50">
        <f t="shared" si="28"/>
        <v>0.184</v>
      </c>
      <c r="H281" s="8">
        <v>6000</v>
      </c>
      <c r="I281" s="19">
        <v>6</v>
      </c>
      <c r="J281" s="19"/>
      <c r="K281" s="18" t="s">
        <v>643</v>
      </c>
    </row>
    <row r="282" spans="2:11" s="6" customFormat="1" ht="12">
      <c r="B282" s="192" t="s">
        <v>14</v>
      </c>
      <c r="C282" s="7" t="s">
        <v>727</v>
      </c>
      <c r="D282" s="67"/>
      <c r="E282" s="67"/>
      <c r="F282" s="50">
        <v>0.13300000000000001</v>
      </c>
      <c r="G282" s="50">
        <f t="shared" si="28"/>
        <v>9.2999999999999999E-2</v>
      </c>
      <c r="H282" s="8">
        <v>6000</v>
      </c>
      <c r="I282" s="19"/>
      <c r="J282" s="19">
        <v>12</v>
      </c>
      <c r="K282" s="18" t="s">
        <v>643</v>
      </c>
    </row>
    <row r="283" spans="2:11" s="6" customFormat="1" ht="12">
      <c r="B283" s="192" t="s">
        <v>15</v>
      </c>
      <c r="C283" s="7" t="s">
        <v>726</v>
      </c>
      <c r="D283" s="67"/>
      <c r="E283" s="67"/>
      <c r="F283" s="50">
        <v>0.10299999999999999</v>
      </c>
      <c r="G283" s="50">
        <f t="shared" si="28"/>
        <v>6.3E-2</v>
      </c>
      <c r="H283" s="8">
        <v>10000</v>
      </c>
      <c r="I283" s="19"/>
      <c r="J283" s="19">
        <v>6</v>
      </c>
      <c r="K283" s="18" t="s">
        <v>643</v>
      </c>
    </row>
    <row r="284" spans="2:11" s="6" customFormat="1" ht="12">
      <c r="B284" s="192" t="s">
        <v>16</v>
      </c>
      <c r="C284" s="7" t="s">
        <v>725</v>
      </c>
      <c r="D284" s="67"/>
      <c r="E284" s="67" t="s">
        <v>1303</v>
      </c>
      <c r="F284" s="50">
        <v>0.10199999999999999</v>
      </c>
      <c r="G284" s="50">
        <f t="shared" si="28"/>
        <v>6.1999999999999993E-2</v>
      </c>
      <c r="H284" s="8">
        <v>6000</v>
      </c>
      <c r="I284" s="19">
        <v>12</v>
      </c>
      <c r="J284" s="19"/>
      <c r="K284" s="18" t="s">
        <v>643</v>
      </c>
    </row>
    <row r="285" spans="2:11" s="6" customFormat="1" ht="12">
      <c r="B285" s="192" t="s">
        <v>17</v>
      </c>
      <c r="C285" s="7" t="s">
        <v>724</v>
      </c>
      <c r="D285" s="67"/>
      <c r="E285" s="67"/>
      <c r="F285" s="50">
        <v>8.5000000000000006E-2</v>
      </c>
      <c r="G285" s="50">
        <f t="shared" si="28"/>
        <v>4.5000000000000005E-2</v>
      </c>
      <c r="H285" s="8">
        <v>10000</v>
      </c>
      <c r="I285" s="19" t="s">
        <v>268</v>
      </c>
      <c r="J285" s="19" t="s">
        <v>265</v>
      </c>
      <c r="K285" s="18" t="s">
        <v>643</v>
      </c>
    </row>
    <row r="286" spans="2:11" s="6" customFormat="1" ht="12">
      <c r="B286" s="192" t="s">
        <v>18</v>
      </c>
      <c r="C286" s="7" t="s">
        <v>723</v>
      </c>
      <c r="D286" s="67"/>
      <c r="E286" s="67"/>
      <c r="F286" s="50">
        <v>0.20399999999999999</v>
      </c>
      <c r="G286" s="50">
        <f t="shared" si="28"/>
        <v>0.16399999999999998</v>
      </c>
      <c r="H286" s="8">
        <v>6000</v>
      </c>
      <c r="I286" s="19" t="s">
        <v>107</v>
      </c>
      <c r="J286" s="19"/>
      <c r="K286" s="189" t="s">
        <v>518</v>
      </c>
    </row>
    <row r="287" spans="2:11" s="6" customFormat="1" ht="12">
      <c r="B287" s="192" t="s">
        <v>19</v>
      </c>
      <c r="C287" s="7" t="s">
        <v>722</v>
      </c>
      <c r="D287" s="67"/>
      <c r="E287" s="67"/>
      <c r="F287" s="50">
        <v>0.21</v>
      </c>
      <c r="G287" s="50">
        <f t="shared" si="28"/>
        <v>0.16999999999999998</v>
      </c>
      <c r="H287" s="8">
        <v>5000</v>
      </c>
      <c r="I287" s="19"/>
      <c r="J287" s="19"/>
      <c r="K287" s="18" t="s">
        <v>643</v>
      </c>
    </row>
    <row r="288" spans="2:11" s="6" customFormat="1" ht="12">
      <c r="B288" s="192" t="s">
        <v>20</v>
      </c>
      <c r="C288" s="7" t="s">
        <v>371</v>
      </c>
      <c r="D288" s="67"/>
      <c r="E288" s="67"/>
      <c r="F288" s="50">
        <v>0.115</v>
      </c>
      <c r="G288" s="50">
        <f t="shared" si="28"/>
        <v>7.5000000000000011E-2</v>
      </c>
      <c r="H288" s="8">
        <v>12000</v>
      </c>
      <c r="I288" s="19">
        <v>12</v>
      </c>
      <c r="J288" s="19"/>
      <c r="K288" s="18" t="s">
        <v>643</v>
      </c>
    </row>
    <row r="289" spans="2:11" s="6" customFormat="1" ht="12">
      <c r="B289" s="192" t="s">
        <v>21</v>
      </c>
      <c r="C289" s="7" t="s">
        <v>372</v>
      </c>
      <c r="D289" s="67"/>
      <c r="E289" s="67"/>
      <c r="F289" s="50">
        <v>0.112</v>
      </c>
      <c r="G289" s="50">
        <f t="shared" si="28"/>
        <v>7.2000000000000008E-2</v>
      </c>
      <c r="H289" s="8">
        <v>10000</v>
      </c>
      <c r="I289" s="19">
        <v>5</v>
      </c>
      <c r="J289" s="19"/>
      <c r="K289" s="18" t="s">
        <v>643</v>
      </c>
    </row>
    <row r="290" spans="2:11" s="6" customFormat="1" ht="12">
      <c r="B290" s="192" t="s">
        <v>22</v>
      </c>
      <c r="C290" s="7" t="s">
        <v>688</v>
      </c>
      <c r="D290" s="67" t="s">
        <v>689</v>
      </c>
      <c r="E290" s="67"/>
      <c r="F290" s="50">
        <v>0.11899999999999999</v>
      </c>
      <c r="G290" s="50">
        <f t="shared" si="28"/>
        <v>7.8999999999999987E-2</v>
      </c>
      <c r="H290" s="8">
        <v>6000</v>
      </c>
      <c r="I290" s="19"/>
      <c r="J290" s="19">
        <v>6</v>
      </c>
      <c r="K290" s="18" t="s">
        <v>643</v>
      </c>
    </row>
    <row r="291" spans="2:11" s="6" customFormat="1" ht="12">
      <c r="B291" s="192" t="s">
        <v>23</v>
      </c>
      <c r="C291" s="7" t="s">
        <v>721</v>
      </c>
      <c r="D291" s="67"/>
      <c r="E291" s="67" t="s">
        <v>301</v>
      </c>
      <c r="F291" s="50">
        <v>0.09</v>
      </c>
      <c r="G291" s="50">
        <f t="shared" si="28"/>
        <v>4.9999999999999996E-2</v>
      </c>
      <c r="H291" s="8">
        <v>12000</v>
      </c>
      <c r="I291" s="19">
        <v>12</v>
      </c>
      <c r="J291" s="19"/>
      <c r="K291" s="18" t="s">
        <v>643</v>
      </c>
    </row>
    <row r="292" spans="2:11" s="6" customFormat="1" ht="12">
      <c r="B292" s="192" t="s">
        <v>143</v>
      </c>
      <c r="C292" s="7" t="s">
        <v>719</v>
      </c>
      <c r="D292" s="67"/>
      <c r="E292" s="67"/>
      <c r="F292" s="50">
        <v>0.121</v>
      </c>
      <c r="G292" s="50">
        <f t="shared" si="28"/>
        <v>8.0999999999999989E-2</v>
      </c>
      <c r="H292" s="8">
        <v>6000</v>
      </c>
      <c r="I292" s="19" t="s">
        <v>720</v>
      </c>
      <c r="J292" s="19"/>
      <c r="K292" s="18" t="s">
        <v>643</v>
      </c>
    </row>
    <row r="293" spans="2:11" s="116" customFormat="1" ht="12">
      <c r="B293" s="193" t="s">
        <v>291</v>
      </c>
      <c r="C293" s="111" t="s">
        <v>123</v>
      </c>
      <c r="D293" s="112"/>
      <c r="E293" s="112" t="s">
        <v>301</v>
      </c>
      <c r="F293" s="106">
        <v>9.5000000000000001E-2</v>
      </c>
      <c r="G293" s="50">
        <f t="shared" si="28"/>
        <v>5.5E-2</v>
      </c>
      <c r="H293" s="113">
        <v>6000</v>
      </c>
      <c r="I293" s="114">
        <v>12</v>
      </c>
      <c r="J293" s="114"/>
      <c r="K293" s="115" t="s">
        <v>643</v>
      </c>
    </row>
    <row r="294" spans="2:11" s="116" customFormat="1" ht="12">
      <c r="B294" s="193" t="s">
        <v>144</v>
      </c>
      <c r="C294" s="111" t="s">
        <v>145</v>
      </c>
      <c r="D294" s="112"/>
      <c r="E294" s="112" t="s">
        <v>301</v>
      </c>
      <c r="F294" s="106">
        <v>0.16200000000000001</v>
      </c>
      <c r="G294" s="50">
        <f t="shared" si="28"/>
        <v>0.122</v>
      </c>
      <c r="H294" s="113">
        <v>6000</v>
      </c>
      <c r="I294" s="19">
        <v>9</v>
      </c>
      <c r="J294" s="19">
        <v>2</v>
      </c>
      <c r="K294" s="115" t="s">
        <v>643</v>
      </c>
    </row>
    <row r="295" spans="2:11" s="116" customFormat="1" ht="12">
      <c r="B295" s="193" t="s">
        <v>24</v>
      </c>
      <c r="C295" s="111" t="s">
        <v>472</v>
      </c>
      <c r="D295" s="112"/>
      <c r="E295" s="112" t="s">
        <v>301</v>
      </c>
      <c r="F295" s="106">
        <v>0.11899999999999999</v>
      </c>
      <c r="G295" s="50">
        <f t="shared" si="28"/>
        <v>7.8999999999999987E-2</v>
      </c>
      <c r="H295" s="113">
        <v>4000</v>
      </c>
      <c r="I295" s="114">
        <v>8</v>
      </c>
      <c r="J295" s="114">
        <v>4</v>
      </c>
      <c r="K295" s="189" t="s">
        <v>518</v>
      </c>
    </row>
    <row r="296" spans="2:11" s="116" customFormat="1" ht="12">
      <c r="B296" s="193" t="s">
        <v>25</v>
      </c>
      <c r="C296" s="111" t="s">
        <v>680</v>
      </c>
      <c r="D296" s="112"/>
      <c r="E296" s="112"/>
      <c r="F296" s="106">
        <v>0.186</v>
      </c>
      <c r="G296" s="50">
        <f t="shared" si="28"/>
        <v>0.14599999999999999</v>
      </c>
      <c r="H296" s="113">
        <v>7000</v>
      </c>
      <c r="I296" s="114"/>
      <c r="J296" s="114">
        <v>7</v>
      </c>
      <c r="K296" s="115" t="s">
        <v>643</v>
      </c>
    </row>
    <row r="297" spans="2:11" s="116" customFormat="1" ht="12">
      <c r="B297" s="193" t="s">
        <v>27</v>
      </c>
      <c r="C297" s="111" t="s">
        <v>233</v>
      </c>
      <c r="D297" s="112"/>
      <c r="E297" s="112" t="s">
        <v>301</v>
      </c>
      <c r="F297" s="106">
        <v>0.13600000000000001</v>
      </c>
      <c r="G297" s="50">
        <f t="shared" si="28"/>
        <v>9.6000000000000002E-2</v>
      </c>
      <c r="H297" s="113">
        <v>10000</v>
      </c>
      <c r="I297" s="114">
        <v>11</v>
      </c>
      <c r="J297" s="114"/>
      <c r="K297" s="115" t="s">
        <v>643</v>
      </c>
    </row>
    <row r="298" spans="2:11" s="116" customFormat="1" ht="12">
      <c r="B298" s="193" t="s">
        <v>28</v>
      </c>
      <c r="C298" s="111" t="s">
        <v>718</v>
      </c>
      <c r="D298" s="112" t="s">
        <v>295</v>
      </c>
      <c r="E298" s="112" t="s">
        <v>301</v>
      </c>
      <c r="F298" s="106">
        <v>0.214</v>
      </c>
      <c r="G298" s="50">
        <f t="shared" si="28"/>
        <v>0.17399999999999999</v>
      </c>
      <c r="H298" s="113">
        <v>5000</v>
      </c>
      <c r="I298" s="114" t="s">
        <v>107</v>
      </c>
      <c r="J298" s="114"/>
      <c r="K298" s="115" t="s">
        <v>643</v>
      </c>
    </row>
    <row r="299" spans="2:11" s="116" customFormat="1" ht="12">
      <c r="B299" s="193" t="s">
        <v>294</v>
      </c>
      <c r="C299" s="111" t="s">
        <v>717</v>
      </c>
      <c r="D299" s="112"/>
      <c r="E299" s="112" t="s">
        <v>301</v>
      </c>
      <c r="F299" s="106">
        <v>0.129</v>
      </c>
      <c r="G299" s="50">
        <f t="shared" si="28"/>
        <v>8.8999999999999996E-2</v>
      </c>
      <c r="H299" s="257">
        <v>10000</v>
      </c>
      <c r="I299" s="114"/>
      <c r="J299" s="114" t="s">
        <v>623</v>
      </c>
      <c r="K299" s="189" t="s">
        <v>518</v>
      </c>
    </row>
    <row r="300" spans="2:11" s="116" customFormat="1" ht="12">
      <c r="B300" s="193" t="s">
        <v>146</v>
      </c>
      <c r="C300" s="111" t="s">
        <v>716</v>
      </c>
      <c r="D300" s="112" t="s">
        <v>274</v>
      </c>
      <c r="E300" s="112" t="s">
        <v>301</v>
      </c>
      <c r="F300" s="106">
        <v>0.122</v>
      </c>
      <c r="G300" s="50">
        <f t="shared" si="28"/>
        <v>8.199999999999999E-2</v>
      </c>
      <c r="H300" s="113">
        <v>10000</v>
      </c>
      <c r="I300" s="114">
        <v>2</v>
      </c>
      <c r="J300" s="114">
        <v>7</v>
      </c>
      <c r="K300" s="115" t="s">
        <v>643</v>
      </c>
    </row>
    <row r="301" spans="2:11" s="116" customFormat="1" ht="12">
      <c r="B301" s="193" t="s">
        <v>29</v>
      </c>
      <c r="C301" s="111" t="s">
        <v>235</v>
      </c>
      <c r="D301" s="112"/>
      <c r="E301" s="112" t="s">
        <v>301</v>
      </c>
      <c r="F301" s="106">
        <v>0.14599999999999999</v>
      </c>
      <c r="G301" s="50">
        <f t="shared" si="28"/>
        <v>0.10599999999999998</v>
      </c>
      <c r="H301" s="113">
        <v>6000</v>
      </c>
      <c r="I301" s="114"/>
      <c r="J301" s="114"/>
      <c r="K301" s="189" t="s">
        <v>518</v>
      </c>
    </row>
    <row r="302" spans="2:11" s="116" customFormat="1" ht="12">
      <c r="B302" s="193" t="s">
        <v>30</v>
      </c>
      <c r="C302" s="184" t="s">
        <v>362</v>
      </c>
      <c r="D302" s="112" t="s">
        <v>147</v>
      </c>
      <c r="E302" s="112" t="s">
        <v>301</v>
      </c>
      <c r="F302" s="106">
        <v>0.19900000000000001</v>
      </c>
      <c r="G302" s="50">
        <f t="shared" si="28"/>
        <v>0.159</v>
      </c>
      <c r="H302" s="113">
        <v>5000</v>
      </c>
      <c r="I302" s="114">
        <v>14</v>
      </c>
      <c r="J302" s="114"/>
      <c r="K302" s="115" t="s">
        <v>643</v>
      </c>
    </row>
    <row r="303" spans="2:11" s="116" customFormat="1" ht="12">
      <c r="B303" s="193" t="s">
        <v>287</v>
      </c>
      <c r="C303" s="111" t="s">
        <v>715</v>
      </c>
      <c r="D303" s="130" t="s">
        <v>286</v>
      </c>
      <c r="E303" s="129" t="s">
        <v>301</v>
      </c>
      <c r="F303" s="131" t="s">
        <v>337</v>
      </c>
      <c r="G303" s="106">
        <v>0.128</v>
      </c>
      <c r="H303" s="113">
        <v>10000</v>
      </c>
      <c r="I303" s="114">
        <v>1</v>
      </c>
      <c r="J303" s="114">
        <v>5</v>
      </c>
      <c r="K303" s="110" t="s">
        <v>127</v>
      </c>
    </row>
    <row r="304" spans="2:11" s="116" customFormat="1" ht="12">
      <c r="B304" s="201" t="s">
        <v>148</v>
      </c>
      <c r="C304" s="117" t="s">
        <v>149</v>
      </c>
      <c r="D304" s="118"/>
      <c r="E304" s="118" t="s">
        <v>301</v>
      </c>
      <c r="F304" s="106">
        <v>0.115</v>
      </c>
      <c r="G304" s="106">
        <f t="shared" ref="G304:G360" si="29">F304-0.04</f>
        <v>7.5000000000000011E-2</v>
      </c>
      <c r="H304" s="119">
        <v>11000</v>
      </c>
      <c r="I304" s="120">
        <v>11</v>
      </c>
      <c r="J304" s="120"/>
      <c r="K304" s="121" t="s">
        <v>643</v>
      </c>
    </row>
    <row r="305" spans="2:11" s="116" customFormat="1" ht="12">
      <c r="B305" s="193" t="s">
        <v>150</v>
      </c>
      <c r="C305" s="203" t="s">
        <v>714</v>
      </c>
      <c r="D305" s="112"/>
      <c r="E305" s="112" t="s">
        <v>301</v>
      </c>
      <c r="F305" s="106">
        <v>0.11</v>
      </c>
      <c r="G305" s="106">
        <f t="shared" si="29"/>
        <v>7.0000000000000007E-2</v>
      </c>
      <c r="H305" s="113">
        <v>8000</v>
      </c>
      <c r="I305" s="114"/>
      <c r="J305" s="114">
        <v>4</v>
      </c>
      <c r="K305" s="115" t="s">
        <v>643</v>
      </c>
    </row>
    <row r="306" spans="2:11" s="116" customFormat="1" ht="12">
      <c r="B306" s="141" t="s">
        <v>453</v>
      </c>
      <c r="C306" s="203" t="s">
        <v>454</v>
      </c>
      <c r="D306" s="112"/>
      <c r="E306" s="112" t="s">
        <v>301</v>
      </c>
      <c r="F306" s="106">
        <v>0.125</v>
      </c>
      <c r="G306" s="106">
        <f t="shared" si="29"/>
        <v>8.4999999999999992E-2</v>
      </c>
      <c r="H306" s="113">
        <v>8000</v>
      </c>
      <c r="I306" s="114" t="s">
        <v>107</v>
      </c>
      <c r="J306" s="114">
        <v>4</v>
      </c>
      <c r="K306" s="115" t="s">
        <v>643</v>
      </c>
    </row>
    <row r="307" spans="2:11" s="116" customFormat="1" ht="12">
      <c r="B307" s="193" t="s">
        <v>151</v>
      </c>
      <c r="C307" s="111" t="s">
        <v>279</v>
      </c>
      <c r="D307" s="112" t="s">
        <v>590</v>
      </c>
      <c r="E307" s="112" t="s">
        <v>301</v>
      </c>
      <c r="F307" s="106">
        <v>0.11600000000000001</v>
      </c>
      <c r="G307" s="106">
        <f t="shared" si="29"/>
        <v>7.6000000000000012E-2</v>
      </c>
      <c r="H307" s="113">
        <v>6000</v>
      </c>
      <c r="I307" s="114">
        <v>6</v>
      </c>
      <c r="J307" s="114"/>
      <c r="K307" s="251" t="s">
        <v>518</v>
      </c>
    </row>
    <row r="308" spans="2:11" s="116" customFormat="1" ht="12">
      <c r="B308" s="201" t="s">
        <v>152</v>
      </c>
      <c r="C308" s="117" t="s">
        <v>244</v>
      </c>
      <c r="D308" s="118" t="s">
        <v>153</v>
      </c>
      <c r="E308" s="118" t="s">
        <v>301</v>
      </c>
      <c r="F308" s="106">
        <v>9.4E-2</v>
      </c>
      <c r="G308" s="106">
        <f t="shared" si="29"/>
        <v>5.3999999999999999E-2</v>
      </c>
      <c r="H308" s="119">
        <v>10000</v>
      </c>
      <c r="I308" s="120">
        <v>6</v>
      </c>
      <c r="J308" s="120">
        <v>6</v>
      </c>
      <c r="K308" s="121" t="s">
        <v>643</v>
      </c>
    </row>
    <row r="309" spans="2:11" s="116" customFormat="1" ht="12">
      <c r="B309" s="193" t="s">
        <v>262</v>
      </c>
      <c r="C309" s="111" t="s">
        <v>234</v>
      </c>
      <c r="D309" s="112"/>
      <c r="E309" s="112"/>
      <c r="F309" s="106">
        <v>0.125</v>
      </c>
      <c r="G309" s="106">
        <f t="shared" si="29"/>
        <v>8.4999999999999992E-2</v>
      </c>
      <c r="H309" s="113">
        <v>6000</v>
      </c>
      <c r="I309" s="114">
        <v>12</v>
      </c>
      <c r="J309" s="114"/>
      <c r="K309" s="115" t="s">
        <v>643</v>
      </c>
    </row>
    <row r="310" spans="2:11" s="116" customFormat="1" ht="12">
      <c r="B310" s="193" t="s">
        <v>263</v>
      </c>
      <c r="C310" s="111" t="s">
        <v>1304</v>
      </c>
      <c r="D310" s="112"/>
      <c r="E310" s="112" t="s">
        <v>1303</v>
      </c>
      <c r="F310" s="106">
        <v>0.10199999999999999</v>
      </c>
      <c r="G310" s="106">
        <f t="shared" si="29"/>
        <v>6.1999999999999993E-2</v>
      </c>
      <c r="H310" s="113">
        <v>6000</v>
      </c>
      <c r="I310" s="114">
        <v>12</v>
      </c>
      <c r="J310" s="114"/>
      <c r="K310" s="115" t="s">
        <v>643</v>
      </c>
    </row>
    <row r="311" spans="2:11" s="116" customFormat="1" ht="12">
      <c r="B311" s="193" t="s">
        <v>154</v>
      </c>
      <c r="C311" s="111" t="s">
        <v>713</v>
      </c>
      <c r="D311" s="112"/>
      <c r="E311" s="112" t="s">
        <v>301</v>
      </c>
      <c r="F311" s="106">
        <v>0.126</v>
      </c>
      <c r="G311" s="106">
        <f t="shared" si="29"/>
        <v>8.5999999999999993E-2</v>
      </c>
      <c r="H311" s="113">
        <v>5000</v>
      </c>
      <c r="I311" s="114">
        <v>12</v>
      </c>
      <c r="J311" s="114" t="s">
        <v>142</v>
      </c>
      <c r="K311" s="115" t="s">
        <v>643</v>
      </c>
    </row>
    <row r="312" spans="2:11" s="116" customFormat="1" ht="12">
      <c r="B312" s="193" t="s">
        <v>155</v>
      </c>
      <c r="C312" s="111" t="s">
        <v>347</v>
      </c>
      <c r="D312" s="112"/>
      <c r="E312" s="112"/>
      <c r="F312" s="106">
        <v>0.157</v>
      </c>
      <c r="G312" s="106">
        <f t="shared" si="29"/>
        <v>0.11699999999999999</v>
      </c>
      <c r="H312" s="113">
        <v>4000</v>
      </c>
      <c r="I312" s="114">
        <v>4</v>
      </c>
      <c r="J312" s="114">
        <v>4</v>
      </c>
      <c r="K312" s="115" t="s">
        <v>643</v>
      </c>
    </row>
    <row r="313" spans="2:11" s="116" customFormat="1" ht="12">
      <c r="B313" s="202" t="s">
        <v>189</v>
      </c>
      <c r="C313" s="111" t="s">
        <v>873</v>
      </c>
      <c r="D313" s="112" t="s">
        <v>872</v>
      </c>
      <c r="E313" s="112" t="s">
        <v>301</v>
      </c>
      <c r="F313" s="106">
        <v>0.108</v>
      </c>
      <c r="G313" s="106">
        <f t="shared" si="29"/>
        <v>6.8000000000000005E-2</v>
      </c>
      <c r="H313" s="113">
        <v>10000</v>
      </c>
      <c r="I313" s="114"/>
      <c r="J313" s="114">
        <v>6</v>
      </c>
      <c r="K313" s="115" t="s">
        <v>643</v>
      </c>
    </row>
    <row r="314" spans="2:11" s="116" customFormat="1" ht="12">
      <c r="B314" s="202" t="s">
        <v>194</v>
      </c>
      <c r="C314" s="117" t="s">
        <v>413</v>
      </c>
      <c r="D314" s="112"/>
      <c r="E314" s="112"/>
      <c r="F314" s="106">
        <v>0.156</v>
      </c>
      <c r="G314" s="106">
        <f t="shared" si="29"/>
        <v>0.11599999999999999</v>
      </c>
      <c r="H314" s="119">
        <v>6000</v>
      </c>
      <c r="I314" s="120"/>
      <c r="J314" s="120">
        <v>5</v>
      </c>
      <c r="K314" s="115" t="s">
        <v>643</v>
      </c>
    </row>
    <row r="315" spans="2:11" s="116" customFormat="1" ht="12">
      <c r="B315" s="193" t="s">
        <v>221</v>
      </c>
      <c r="C315" s="111" t="s">
        <v>647</v>
      </c>
      <c r="D315" s="112"/>
      <c r="E315" s="112"/>
      <c r="F315" s="106">
        <v>0.122</v>
      </c>
      <c r="G315" s="106">
        <f t="shared" si="29"/>
        <v>8.199999999999999E-2</v>
      </c>
      <c r="H315" s="113">
        <v>10000</v>
      </c>
      <c r="I315" s="114">
        <v>8</v>
      </c>
      <c r="J315" s="114"/>
      <c r="K315" s="115" t="s">
        <v>643</v>
      </c>
    </row>
    <row r="316" spans="2:11" s="116" customFormat="1" ht="12">
      <c r="B316" s="193" t="s">
        <v>222</v>
      </c>
      <c r="C316" s="111" t="s">
        <v>223</v>
      </c>
      <c r="D316" s="112"/>
      <c r="E316" s="112" t="s">
        <v>301</v>
      </c>
      <c r="F316" s="106">
        <v>0.246</v>
      </c>
      <c r="G316" s="106">
        <f t="shared" si="29"/>
        <v>0.20599999999999999</v>
      </c>
      <c r="H316" s="113">
        <v>5000</v>
      </c>
      <c r="I316" s="114">
        <v>10</v>
      </c>
      <c r="J316" s="114"/>
      <c r="K316" s="115" t="s">
        <v>643</v>
      </c>
    </row>
    <row r="317" spans="2:11" s="116" customFormat="1" ht="12">
      <c r="B317" s="193" t="s">
        <v>269</v>
      </c>
      <c r="C317" s="111" t="s">
        <v>712</v>
      </c>
      <c r="D317" s="112"/>
      <c r="E317" s="112"/>
      <c r="F317" s="106">
        <v>0.155</v>
      </c>
      <c r="G317" s="106">
        <f t="shared" si="29"/>
        <v>0.11499999999999999</v>
      </c>
      <c r="H317" s="113">
        <v>5000</v>
      </c>
      <c r="I317" s="114">
        <v>1</v>
      </c>
      <c r="J317" s="114" t="s">
        <v>265</v>
      </c>
      <c r="K317" s="115" t="s">
        <v>643</v>
      </c>
    </row>
    <row r="318" spans="2:11" s="116" customFormat="1" ht="12">
      <c r="B318" s="193" t="s">
        <v>280</v>
      </c>
      <c r="C318" s="111" t="s">
        <v>711</v>
      </c>
      <c r="D318" s="112"/>
      <c r="E318" s="112"/>
      <c r="F318" s="106">
        <v>0.13800000000000001</v>
      </c>
      <c r="G318" s="106">
        <f t="shared" si="29"/>
        <v>9.8000000000000004E-2</v>
      </c>
      <c r="H318" s="113">
        <v>6000</v>
      </c>
      <c r="I318" s="114">
        <v>6</v>
      </c>
      <c r="J318" s="114">
        <v>3</v>
      </c>
      <c r="K318" s="115" t="s">
        <v>643</v>
      </c>
    </row>
    <row r="319" spans="2:11" s="116" customFormat="1" ht="12">
      <c r="B319" s="193" t="s">
        <v>281</v>
      </c>
      <c r="C319" s="111" t="s">
        <v>278</v>
      </c>
      <c r="D319" s="112"/>
      <c r="E319" s="112" t="s">
        <v>1303</v>
      </c>
      <c r="F319" s="106">
        <v>0.104</v>
      </c>
      <c r="G319" s="106">
        <f t="shared" si="29"/>
        <v>6.4000000000000001E-2</v>
      </c>
      <c r="H319" s="113">
        <v>6000</v>
      </c>
      <c r="I319" s="114">
        <v>12</v>
      </c>
      <c r="J319" s="114"/>
      <c r="K319" s="115" t="s">
        <v>643</v>
      </c>
    </row>
    <row r="320" spans="2:11" s="116" customFormat="1" ht="12">
      <c r="B320" s="193" t="s">
        <v>282</v>
      </c>
      <c r="C320" s="111" t="s">
        <v>283</v>
      </c>
      <c r="D320" s="112"/>
      <c r="E320" s="112" t="s">
        <v>1303</v>
      </c>
      <c r="F320" s="106">
        <v>0.125</v>
      </c>
      <c r="G320" s="106">
        <f t="shared" si="29"/>
        <v>8.4999999999999992E-2</v>
      </c>
      <c r="H320" s="113">
        <v>6000</v>
      </c>
      <c r="I320" s="114">
        <v>12</v>
      </c>
      <c r="J320" s="114"/>
      <c r="K320" s="143" t="s">
        <v>643</v>
      </c>
    </row>
    <row r="321" spans="2:11" s="116" customFormat="1" ht="12">
      <c r="B321" s="193" t="s">
        <v>360</v>
      </c>
      <c r="C321" s="111" t="s">
        <v>710</v>
      </c>
      <c r="D321" s="112"/>
      <c r="E321" s="112" t="s">
        <v>1303</v>
      </c>
      <c r="F321" s="106">
        <v>0.104</v>
      </c>
      <c r="G321" s="106">
        <f t="shared" si="29"/>
        <v>6.4000000000000001E-2</v>
      </c>
      <c r="H321" s="113">
        <v>6000</v>
      </c>
      <c r="I321" s="114">
        <v>12</v>
      </c>
      <c r="J321" s="114"/>
      <c r="K321" s="143" t="s">
        <v>643</v>
      </c>
    </row>
    <row r="322" spans="2:11" s="116" customFormat="1" ht="12">
      <c r="B322" s="193" t="s">
        <v>387</v>
      </c>
      <c r="C322" s="111" t="s">
        <v>388</v>
      </c>
      <c r="D322" s="112"/>
      <c r="E322" s="112"/>
      <c r="F322" s="106">
        <v>0.125</v>
      </c>
      <c r="G322" s="106">
        <f t="shared" si="29"/>
        <v>8.4999999999999992E-2</v>
      </c>
      <c r="H322" s="113">
        <v>6000</v>
      </c>
      <c r="I322" s="114">
        <v>12</v>
      </c>
      <c r="J322" s="114"/>
      <c r="K322" s="143" t="s">
        <v>643</v>
      </c>
    </row>
    <row r="323" spans="2:11" s="116" customFormat="1" ht="12">
      <c r="B323" s="193" t="s">
        <v>156</v>
      </c>
      <c r="C323" s="111" t="s">
        <v>690</v>
      </c>
      <c r="D323" s="112"/>
      <c r="E323" s="112"/>
      <c r="F323" s="106">
        <v>0.307</v>
      </c>
      <c r="G323" s="106">
        <f t="shared" si="29"/>
        <v>0.26700000000000002</v>
      </c>
      <c r="H323" s="113">
        <v>5000</v>
      </c>
      <c r="I323" s="114" t="s">
        <v>142</v>
      </c>
      <c r="J323" s="114">
        <v>3</v>
      </c>
      <c r="K323" s="115" t="s">
        <v>643</v>
      </c>
    </row>
    <row r="324" spans="2:11" s="116" customFormat="1" ht="12">
      <c r="B324" s="193" t="s">
        <v>157</v>
      </c>
      <c r="C324" s="111" t="s">
        <v>709</v>
      </c>
      <c r="D324" s="112"/>
      <c r="E324" s="112"/>
      <c r="F324" s="106">
        <v>0.155</v>
      </c>
      <c r="G324" s="106">
        <f t="shared" si="29"/>
        <v>0.11499999999999999</v>
      </c>
      <c r="H324" s="113">
        <v>4000</v>
      </c>
      <c r="I324" s="114">
        <v>5</v>
      </c>
      <c r="J324" s="114"/>
      <c r="K324" s="115" t="s">
        <v>643</v>
      </c>
    </row>
    <row r="325" spans="2:11" s="116" customFormat="1" ht="12">
      <c r="B325" s="193" t="s">
        <v>316</v>
      </c>
      <c r="C325" s="117" t="s">
        <v>708</v>
      </c>
      <c r="D325" s="118" t="s">
        <v>325</v>
      </c>
      <c r="E325" s="118"/>
      <c r="F325" s="106">
        <v>0.224</v>
      </c>
      <c r="G325" s="109">
        <f t="shared" si="29"/>
        <v>0.184</v>
      </c>
      <c r="H325" s="113">
        <v>4000</v>
      </c>
      <c r="I325" s="114">
        <v>4</v>
      </c>
      <c r="J325" s="114"/>
      <c r="K325" s="251" t="s">
        <v>518</v>
      </c>
    </row>
    <row r="326" spans="2:11" s="116" customFormat="1" ht="12">
      <c r="B326" s="201" t="s">
        <v>158</v>
      </c>
      <c r="C326" s="117" t="s">
        <v>159</v>
      </c>
      <c r="D326" s="118"/>
      <c r="E326" s="118"/>
      <c r="F326" s="109">
        <v>0.184</v>
      </c>
      <c r="G326" s="109">
        <f t="shared" si="29"/>
        <v>0.14399999999999999</v>
      </c>
      <c r="H326" s="119">
        <v>5000</v>
      </c>
      <c r="I326" s="120">
        <v>3</v>
      </c>
      <c r="J326" s="120" t="s">
        <v>142</v>
      </c>
      <c r="K326" s="121" t="s">
        <v>643</v>
      </c>
    </row>
    <row r="327" spans="2:11" s="116" customFormat="1" ht="12">
      <c r="B327" s="193" t="s">
        <v>160</v>
      </c>
      <c r="C327" s="111" t="s">
        <v>707</v>
      </c>
      <c r="D327" s="112"/>
      <c r="E327" s="112"/>
      <c r="F327" s="106">
        <v>0.127</v>
      </c>
      <c r="G327" s="106">
        <f t="shared" si="29"/>
        <v>8.6999999999999994E-2</v>
      </c>
      <c r="H327" s="113">
        <v>5000</v>
      </c>
      <c r="I327" s="114"/>
      <c r="J327" s="114">
        <v>5</v>
      </c>
      <c r="K327" s="115" t="s">
        <v>643</v>
      </c>
    </row>
    <row r="328" spans="2:11" s="116" customFormat="1" ht="12">
      <c r="B328" s="193" t="s">
        <v>161</v>
      </c>
      <c r="C328" s="111" t="s">
        <v>445</v>
      </c>
      <c r="D328" s="112"/>
      <c r="E328" s="112"/>
      <c r="F328" s="106">
        <v>0.19</v>
      </c>
      <c r="G328" s="106">
        <f t="shared" si="29"/>
        <v>0.15</v>
      </c>
      <c r="H328" s="113">
        <v>5000</v>
      </c>
      <c r="I328" s="114"/>
      <c r="J328" s="114" t="s">
        <v>107</v>
      </c>
      <c r="K328" s="115" t="s">
        <v>643</v>
      </c>
    </row>
    <row r="329" spans="2:11" s="116" customFormat="1" ht="12.6" thickBot="1">
      <c r="B329" s="201" t="s">
        <v>440</v>
      </c>
      <c r="C329" s="117" t="s">
        <v>441</v>
      </c>
      <c r="D329" s="118" t="s">
        <v>406</v>
      </c>
      <c r="E329" s="118" t="s">
        <v>301</v>
      </c>
      <c r="F329" s="198">
        <v>0.18</v>
      </c>
      <c r="G329" s="106"/>
      <c r="H329" s="119">
        <v>6000</v>
      </c>
      <c r="I329" s="120"/>
      <c r="J329" s="120">
        <v>6</v>
      </c>
      <c r="K329" s="115" t="s">
        <v>643</v>
      </c>
    </row>
    <row r="330" spans="2:11" s="116" customFormat="1" ht="12">
      <c r="B330" s="204" t="s">
        <v>957</v>
      </c>
      <c r="C330" s="122" t="s">
        <v>958</v>
      </c>
      <c r="D330" s="123"/>
      <c r="E330" s="123" t="s">
        <v>301</v>
      </c>
      <c r="F330" s="124">
        <v>0.222</v>
      </c>
      <c r="G330" s="124">
        <f t="shared" si="29"/>
        <v>0.182</v>
      </c>
      <c r="H330" s="125">
        <v>10000</v>
      </c>
      <c r="I330" s="126">
        <v>7</v>
      </c>
      <c r="J330" s="126"/>
      <c r="K330" s="127" t="s">
        <v>643</v>
      </c>
    </row>
    <row r="331" spans="2:11" s="116" customFormat="1" ht="12">
      <c r="B331" s="270" t="s">
        <v>36</v>
      </c>
      <c r="C331" s="244" t="s">
        <v>706</v>
      </c>
      <c r="D331" s="245"/>
      <c r="E331" s="245"/>
      <c r="F331" s="109">
        <v>0.108</v>
      </c>
      <c r="G331" s="109">
        <f t="shared" ref="G331" si="30">F331-0.04</f>
        <v>6.8000000000000005E-2</v>
      </c>
      <c r="H331" s="136">
        <v>10000</v>
      </c>
      <c r="I331" s="247"/>
      <c r="J331" s="247">
        <v>6</v>
      </c>
      <c r="K331" s="248" t="s">
        <v>643</v>
      </c>
    </row>
    <row r="332" spans="2:11" s="116" customFormat="1" ht="12">
      <c r="B332" s="193" t="s">
        <v>31</v>
      </c>
      <c r="C332" s="111" t="s">
        <v>249</v>
      </c>
      <c r="D332" s="112"/>
      <c r="E332" s="112"/>
      <c r="F332" s="106">
        <v>0.219</v>
      </c>
      <c r="G332" s="106">
        <f t="shared" si="29"/>
        <v>0.17899999999999999</v>
      </c>
      <c r="H332" s="113">
        <v>10000</v>
      </c>
      <c r="I332" s="114"/>
      <c r="J332" s="114">
        <v>6</v>
      </c>
      <c r="K332" s="115" t="s">
        <v>643</v>
      </c>
    </row>
    <row r="333" spans="2:11" s="116" customFormat="1" ht="12">
      <c r="B333" s="193" t="s">
        <v>439</v>
      </c>
      <c r="C333" s="111" t="s">
        <v>705</v>
      </c>
      <c r="D333" s="112"/>
      <c r="E333" s="112"/>
      <c r="F333" s="106">
        <v>0.222</v>
      </c>
      <c r="G333" s="106">
        <f t="shared" si="29"/>
        <v>0.182</v>
      </c>
      <c r="H333" s="113">
        <v>5000</v>
      </c>
      <c r="I333" s="114">
        <v>7</v>
      </c>
      <c r="J333" s="114"/>
      <c r="K333" s="115" t="s">
        <v>643</v>
      </c>
    </row>
    <row r="334" spans="2:11" s="116" customFormat="1" ht="12">
      <c r="B334" s="193" t="s">
        <v>32</v>
      </c>
      <c r="C334" s="111" t="s">
        <v>447</v>
      </c>
      <c r="D334" s="112"/>
      <c r="E334" s="112"/>
      <c r="F334" s="106">
        <v>0.219</v>
      </c>
      <c r="G334" s="106">
        <f t="shared" si="29"/>
        <v>0.17899999999999999</v>
      </c>
      <c r="H334" s="113">
        <v>6000</v>
      </c>
      <c r="I334" s="114">
        <v>6</v>
      </c>
      <c r="J334" s="114"/>
      <c r="K334" s="115" t="s">
        <v>643</v>
      </c>
    </row>
    <row r="335" spans="2:11" s="116" customFormat="1" ht="12">
      <c r="B335" s="193" t="s">
        <v>33</v>
      </c>
      <c r="C335" s="111" t="s">
        <v>162</v>
      </c>
      <c r="D335" s="112"/>
      <c r="E335" s="112" t="s">
        <v>301</v>
      </c>
      <c r="F335" s="106">
        <v>0.121</v>
      </c>
      <c r="G335" s="106">
        <f t="shared" si="29"/>
        <v>8.0999999999999989E-2</v>
      </c>
      <c r="H335" s="113">
        <v>10000</v>
      </c>
      <c r="I335" s="114" t="s">
        <v>107</v>
      </c>
      <c r="J335" s="114">
        <v>8</v>
      </c>
      <c r="K335" s="115" t="s">
        <v>643</v>
      </c>
    </row>
    <row r="336" spans="2:11" s="116" customFormat="1" ht="12">
      <c r="B336" s="193" t="s">
        <v>34</v>
      </c>
      <c r="C336" s="111" t="s">
        <v>270</v>
      </c>
      <c r="D336" s="112"/>
      <c r="E336" s="112" t="s">
        <v>301</v>
      </c>
      <c r="F336" s="106">
        <v>0.127</v>
      </c>
      <c r="G336" s="106">
        <f t="shared" si="29"/>
        <v>8.6999999999999994E-2</v>
      </c>
      <c r="H336" s="113">
        <v>10000</v>
      </c>
      <c r="I336" s="114" t="s">
        <v>107</v>
      </c>
      <c r="J336" s="114"/>
      <c r="K336" s="115" t="s">
        <v>643</v>
      </c>
    </row>
    <row r="337" spans="2:11" s="116" customFormat="1" ht="12">
      <c r="B337" s="193" t="s">
        <v>35</v>
      </c>
      <c r="C337" s="111" t="s">
        <v>163</v>
      </c>
      <c r="D337" s="112"/>
      <c r="E337" s="112" t="s">
        <v>301</v>
      </c>
      <c r="F337" s="106">
        <v>0.159</v>
      </c>
      <c r="G337" s="106">
        <f t="shared" si="29"/>
        <v>0.11899999999999999</v>
      </c>
      <c r="H337" s="113">
        <v>10000</v>
      </c>
      <c r="I337" s="114">
        <v>11</v>
      </c>
      <c r="J337" s="114">
        <v>7</v>
      </c>
      <c r="K337" s="115" t="s">
        <v>643</v>
      </c>
    </row>
    <row r="338" spans="2:11" s="116" customFormat="1" ht="12">
      <c r="B338" s="193" t="s">
        <v>610</v>
      </c>
      <c r="C338" s="205" t="s">
        <v>704</v>
      </c>
      <c r="D338" s="112"/>
      <c r="E338" s="112"/>
      <c r="F338" s="106">
        <v>0.108</v>
      </c>
      <c r="G338" s="106">
        <f t="shared" si="29"/>
        <v>6.8000000000000005E-2</v>
      </c>
      <c r="H338" s="113">
        <v>10000</v>
      </c>
      <c r="I338" s="114" t="s">
        <v>410</v>
      </c>
      <c r="J338" s="114"/>
      <c r="K338" s="115" t="s">
        <v>643</v>
      </c>
    </row>
    <row r="339" spans="2:11" s="116" customFormat="1" ht="12">
      <c r="B339" s="193" t="s">
        <v>164</v>
      </c>
      <c r="C339" s="111" t="s">
        <v>289</v>
      </c>
      <c r="D339" s="112"/>
      <c r="E339" s="112"/>
      <c r="F339" s="135">
        <v>0.217</v>
      </c>
      <c r="G339" s="135">
        <f t="shared" si="29"/>
        <v>0.17699999999999999</v>
      </c>
      <c r="H339" s="113">
        <v>5000</v>
      </c>
      <c r="I339" s="114">
        <v>5</v>
      </c>
      <c r="J339" s="114" t="s">
        <v>290</v>
      </c>
      <c r="K339" s="115" t="s">
        <v>643</v>
      </c>
    </row>
    <row r="340" spans="2:11" s="116" customFormat="1" ht="12">
      <c r="B340" s="193" t="s">
        <v>165</v>
      </c>
      <c r="C340" s="111" t="s">
        <v>247</v>
      </c>
      <c r="D340" s="112"/>
      <c r="E340" s="112"/>
      <c r="F340" s="106">
        <v>0.27500000000000002</v>
      </c>
      <c r="G340" s="106">
        <f t="shared" si="29"/>
        <v>0.23500000000000001</v>
      </c>
      <c r="H340" s="113">
        <v>5000</v>
      </c>
      <c r="I340" s="114">
        <v>10</v>
      </c>
      <c r="J340" s="114"/>
      <c r="K340" s="115" t="s">
        <v>643</v>
      </c>
    </row>
    <row r="341" spans="2:11" s="116" customFormat="1" ht="12">
      <c r="B341" s="193" t="s">
        <v>248</v>
      </c>
      <c r="C341" s="111" t="s">
        <v>253</v>
      </c>
      <c r="D341" s="112"/>
      <c r="E341" s="112"/>
      <c r="F341" s="106">
        <v>0.161</v>
      </c>
      <c r="G341" s="106">
        <f t="shared" si="29"/>
        <v>0.121</v>
      </c>
      <c r="H341" s="113">
        <v>30000</v>
      </c>
      <c r="I341" s="114">
        <v>30</v>
      </c>
      <c r="J341" s="114" t="s">
        <v>107</v>
      </c>
      <c r="K341" s="115" t="s">
        <v>643</v>
      </c>
    </row>
    <row r="342" spans="2:11" s="116" customFormat="1" ht="12">
      <c r="B342" s="193" t="s">
        <v>271</v>
      </c>
      <c r="C342" s="111" t="s">
        <v>264</v>
      </c>
      <c r="D342" s="112" t="s">
        <v>292</v>
      </c>
      <c r="E342" s="112"/>
      <c r="F342" s="135">
        <v>0.11600000000000001</v>
      </c>
      <c r="G342" s="135">
        <f t="shared" si="29"/>
        <v>7.6000000000000012E-2</v>
      </c>
      <c r="H342" s="113">
        <v>6000</v>
      </c>
      <c r="I342" s="114">
        <v>1</v>
      </c>
      <c r="J342" s="114">
        <v>6</v>
      </c>
      <c r="K342" s="115" t="s">
        <v>643</v>
      </c>
    </row>
    <row r="343" spans="2:11" s="116" customFormat="1" ht="12">
      <c r="B343" s="193" t="s">
        <v>636</v>
      </c>
      <c r="C343" s="111" t="s">
        <v>637</v>
      </c>
      <c r="D343" s="112" t="s">
        <v>292</v>
      </c>
      <c r="E343" s="112"/>
      <c r="F343" s="135">
        <v>0.25600000000000001</v>
      </c>
      <c r="G343" s="135">
        <f>F343-0.04</f>
        <v>0.216</v>
      </c>
      <c r="H343" s="113">
        <v>4000</v>
      </c>
      <c r="I343" s="114">
        <v>2</v>
      </c>
      <c r="J343" s="114"/>
      <c r="K343" s="115" t="s">
        <v>643</v>
      </c>
    </row>
    <row r="344" spans="2:11" s="116" customFormat="1" ht="12">
      <c r="B344" s="193" t="s">
        <v>1165</v>
      </c>
      <c r="C344" s="111" t="s">
        <v>1166</v>
      </c>
      <c r="D344" s="112" t="s">
        <v>292</v>
      </c>
      <c r="E344" s="112"/>
      <c r="F344" s="135">
        <v>0.27500000000000002</v>
      </c>
      <c r="G344" s="135">
        <f>F344-0.04</f>
        <v>0.23500000000000001</v>
      </c>
      <c r="H344" s="113">
        <v>4000</v>
      </c>
      <c r="I344" s="114"/>
      <c r="J344" s="114"/>
      <c r="K344" s="115" t="s">
        <v>643</v>
      </c>
    </row>
    <row r="345" spans="2:11" s="116" customFormat="1" ht="12">
      <c r="B345" s="193" t="s">
        <v>448</v>
      </c>
      <c r="C345" s="205" t="s">
        <v>449</v>
      </c>
      <c r="D345" s="112" t="s">
        <v>450</v>
      </c>
      <c r="E345" s="112"/>
      <c r="F345" s="135">
        <v>0.22900000000000001</v>
      </c>
      <c r="G345" s="135">
        <f t="shared" si="29"/>
        <v>0.189</v>
      </c>
      <c r="H345" s="113">
        <v>3000</v>
      </c>
      <c r="I345" s="114" t="s">
        <v>107</v>
      </c>
      <c r="J345" s="114"/>
      <c r="K345" s="115" t="s">
        <v>643</v>
      </c>
    </row>
    <row r="346" spans="2:11" s="116" customFormat="1" ht="12">
      <c r="B346" s="193" t="s">
        <v>195</v>
      </c>
      <c r="C346" s="111" t="s">
        <v>284</v>
      </c>
      <c r="D346" s="112"/>
      <c r="E346" s="112" t="s">
        <v>301</v>
      </c>
      <c r="F346" s="183">
        <v>0.12</v>
      </c>
      <c r="G346" s="183">
        <f t="shared" si="29"/>
        <v>7.9999999999999988E-2</v>
      </c>
      <c r="H346" s="113">
        <v>10000</v>
      </c>
      <c r="I346" s="114">
        <v>2</v>
      </c>
      <c r="J346" s="114">
        <v>7</v>
      </c>
      <c r="K346" s="115" t="s">
        <v>643</v>
      </c>
    </row>
    <row r="347" spans="2:11" s="116" customFormat="1" ht="12">
      <c r="B347" s="193" t="s">
        <v>196</v>
      </c>
      <c r="C347" s="111" t="s">
        <v>197</v>
      </c>
      <c r="D347" s="112"/>
      <c r="E347" s="112" t="s">
        <v>301</v>
      </c>
      <c r="F347" s="135">
        <v>0.14799999999999999</v>
      </c>
      <c r="G347" s="135">
        <f t="shared" si="29"/>
        <v>0.10799999999999998</v>
      </c>
      <c r="H347" s="113">
        <v>5000</v>
      </c>
      <c r="I347" s="114"/>
      <c r="J347" s="114" t="s">
        <v>107</v>
      </c>
      <c r="K347" s="115" t="s">
        <v>643</v>
      </c>
    </row>
    <row r="348" spans="2:11" s="116" customFormat="1" ht="12">
      <c r="B348" s="193" t="s">
        <v>531</v>
      </c>
      <c r="C348" s="111" t="s">
        <v>532</v>
      </c>
      <c r="D348" s="112" t="s">
        <v>533</v>
      </c>
      <c r="E348" s="112"/>
      <c r="F348" s="135">
        <v>8.6999999999999994E-2</v>
      </c>
      <c r="G348" s="135">
        <f t="shared" si="29"/>
        <v>4.6999999999999993E-2</v>
      </c>
      <c r="H348" s="113">
        <v>10000</v>
      </c>
      <c r="I348" s="114">
        <v>20</v>
      </c>
      <c r="J348" s="114"/>
      <c r="K348" s="189" t="s">
        <v>518</v>
      </c>
    </row>
    <row r="349" spans="2:11" s="116" customFormat="1" ht="12">
      <c r="B349" s="193" t="s">
        <v>219</v>
      </c>
      <c r="C349" s="111" t="s">
        <v>220</v>
      </c>
      <c r="D349" s="112" t="s">
        <v>317</v>
      </c>
      <c r="E349" s="112" t="s">
        <v>301</v>
      </c>
      <c r="F349" s="135">
        <v>9.0999999999999998E-2</v>
      </c>
      <c r="G349" s="135">
        <f t="shared" si="29"/>
        <v>5.0999999999999997E-2</v>
      </c>
      <c r="H349" s="113">
        <v>10000</v>
      </c>
      <c r="I349" s="114"/>
      <c r="J349" s="114">
        <v>7</v>
      </c>
      <c r="K349" s="115" t="s">
        <v>643</v>
      </c>
    </row>
    <row r="350" spans="2:11" s="116" customFormat="1" ht="12">
      <c r="B350" s="193" t="s">
        <v>296</v>
      </c>
      <c r="C350" s="111" t="s">
        <v>703</v>
      </c>
      <c r="D350" s="112"/>
      <c r="E350" s="112"/>
      <c r="F350" s="135">
        <v>0.16</v>
      </c>
      <c r="G350" s="135">
        <f t="shared" si="29"/>
        <v>0.12</v>
      </c>
      <c r="H350" s="113">
        <v>10000</v>
      </c>
      <c r="I350" s="114" t="s">
        <v>499</v>
      </c>
      <c r="J350" s="114" t="s">
        <v>500</v>
      </c>
      <c r="K350" s="115" t="s">
        <v>643</v>
      </c>
    </row>
    <row r="351" spans="2:11" s="116" customFormat="1" ht="12">
      <c r="B351" s="270" t="s">
        <v>611</v>
      </c>
      <c r="C351" s="244" t="s">
        <v>612</v>
      </c>
      <c r="D351" s="245"/>
      <c r="E351" s="245"/>
      <c r="F351" s="246">
        <v>0.15</v>
      </c>
      <c r="G351" s="135">
        <f t="shared" si="29"/>
        <v>0.10999999999999999</v>
      </c>
      <c r="H351" s="136">
        <v>10000</v>
      </c>
      <c r="I351" s="247" t="s">
        <v>613</v>
      </c>
      <c r="J351" s="247"/>
      <c r="K351" s="248" t="s">
        <v>643</v>
      </c>
    </row>
    <row r="352" spans="2:11" s="116" customFormat="1" ht="12.6" thickBot="1">
      <c r="B352" s="270" t="s">
        <v>627</v>
      </c>
      <c r="C352" s="244" t="s">
        <v>628</v>
      </c>
      <c r="D352" s="245"/>
      <c r="E352" s="245"/>
      <c r="F352" s="246">
        <v>0.108</v>
      </c>
      <c r="G352" s="135">
        <f t="shared" si="29"/>
        <v>6.8000000000000005E-2</v>
      </c>
      <c r="H352" s="136">
        <v>10000</v>
      </c>
      <c r="I352" s="247">
        <v>20</v>
      </c>
      <c r="J352" s="247"/>
      <c r="K352" s="248" t="s">
        <v>643</v>
      </c>
    </row>
    <row r="353" spans="2:11" s="6" customFormat="1" ht="12">
      <c r="B353" s="271" t="s">
        <v>166</v>
      </c>
      <c r="C353" s="25" t="s">
        <v>285</v>
      </c>
      <c r="D353" s="63" t="s">
        <v>889</v>
      </c>
      <c r="E353" s="63" t="s">
        <v>301</v>
      </c>
      <c r="F353" s="51">
        <v>9.5000000000000001E-2</v>
      </c>
      <c r="G353" s="51">
        <f t="shared" si="29"/>
        <v>5.5E-2</v>
      </c>
      <c r="H353" s="26">
        <v>12000</v>
      </c>
      <c r="I353" s="27">
        <v>12</v>
      </c>
      <c r="J353" s="27">
        <v>4</v>
      </c>
      <c r="K353" s="28" t="s">
        <v>643</v>
      </c>
    </row>
    <row r="354" spans="2:11" s="6" customFormat="1" ht="12">
      <c r="B354" s="192" t="s">
        <v>37</v>
      </c>
      <c r="C354" s="7" t="s">
        <v>888</v>
      </c>
      <c r="D354" s="67" t="s">
        <v>1270</v>
      </c>
      <c r="E354" s="67" t="s">
        <v>301</v>
      </c>
      <c r="F354" s="50">
        <v>9.0999999999999998E-2</v>
      </c>
      <c r="G354" s="50">
        <f t="shared" si="29"/>
        <v>5.0999999999999997E-2</v>
      </c>
      <c r="H354" s="8">
        <v>6000</v>
      </c>
      <c r="I354" s="19"/>
      <c r="J354" s="19" t="s">
        <v>623</v>
      </c>
      <c r="K354" s="18" t="s">
        <v>643</v>
      </c>
    </row>
    <row r="355" spans="2:11" s="6" customFormat="1" ht="12">
      <c r="B355" s="192" t="s">
        <v>1265</v>
      </c>
      <c r="C355" s="7" t="s">
        <v>1267</v>
      </c>
      <c r="D355" s="67" t="s">
        <v>1268</v>
      </c>
      <c r="E355" s="67"/>
      <c r="F355" s="50">
        <v>8.6999999999999994E-2</v>
      </c>
      <c r="G355" s="50">
        <f t="shared" si="29"/>
        <v>4.6999999999999993E-2</v>
      </c>
      <c r="H355" s="8">
        <v>6000</v>
      </c>
      <c r="I355" s="19">
        <v>2</v>
      </c>
      <c r="J355" s="19" t="s">
        <v>623</v>
      </c>
      <c r="K355" s="18" t="s">
        <v>643</v>
      </c>
    </row>
    <row r="356" spans="2:11" s="6" customFormat="1" ht="12">
      <c r="B356" s="192" t="s">
        <v>38</v>
      </c>
      <c r="C356" s="7" t="s">
        <v>702</v>
      </c>
      <c r="D356" s="67"/>
      <c r="E356" s="67"/>
      <c r="F356" s="50">
        <v>0.106</v>
      </c>
      <c r="G356" s="50">
        <f t="shared" si="29"/>
        <v>6.6000000000000003E-2</v>
      </c>
      <c r="H356" s="8">
        <v>4000</v>
      </c>
      <c r="I356" s="19"/>
      <c r="J356" s="19">
        <v>4</v>
      </c>
      <c r="K356" s="18" t="s">
        <v>643</v>
      </c>
    </row>
    <row r="357" spans="2:11" s="6" customFormat="1" ht="12">
      <c r="B357" s="192" t="s">
        <v>1269</v>
      </c>
      <c r="C357" s="7" t="s">
        <v>1271</v>
      </c>
      <c r="D357" s="67"/>
      <c r="E357" s="67"/>
      <c r="F357" s="50">
        <v>9.0999999999999998E-2</v>
      </c>
      <c r="G357" s="50">
        <f t="shared" si="29"/>
        <v>5.0999999999999997E-2</v>
      </c>
      <c r="H357" s="306">
        <v>20000</v>
      </c>
      <c r="I357" s="19" t="s">
        <v>107</v>
      </c>
      <c r="J357" s="19" t="s">
        <v>107</v>
      </c>
      <c r="K357" s="18" t="s">
        <v>643</v>
      </c>
    </row>
    <row r="358" spans="2:11" s="6" customFormat="1" ht="12">
      <c r="B358" s="192" t="s">
        <v>39</v>
      </c>
      <c r="C358" s="7" t="s">
        <v>167</v>
      </c>
      <c r="D358" s="67"/>
      <c r="E358" s="67" t="s">
        <v>301</v>
      </c>
      <c r="F358" s="50">
        <v>0.20100000000000001</v>
      </c>
      <c r="G358" s="50">
        <f t="shared" si="29"/>
        <v>0.161</v>
      </c>
      <c r="H358" s="8">
        <v>10000</v>
      </c>
      <c r="I358" s="19">
        <v>8</v>
      </c>
      <c r="J358" s="19" t="s">
        <v>107</v>
      </c>
      <c r="K358" s="18" t="s">
        <v>643</v>
      </c>
    </row>
    <row r="359" spans="2:11" s="6" customFormat="1" ht="12">
      <c r="B359" s="192" t="s">
        <v>691</v>
      </c>
      <c r="C359" s="7" t="s">
        <v>692</v>
      </c>
      <c r="D359" s="67"/>
      <c r="E359" s="67"/>
      <c r="F359" s="50">
        <v>0.159</v>
      </c>
      <c r="G359" s="50">
        <f t="shared" si="29"/>
        <v>0.11899999999999999</v>
      </c>
      <c r="H359" s="8">
        <v>4000</v>
      </c>
      <c r="I359" s="19"/>
      <c r="J359" s="19">
        <v>4</v>
      </c>
      <c r="K359" s="18" t="s">
        <v>643</v>
      </c>
    </row>
    <row r="360" spans="2:11" s="6" customFormat="1" ht="12">
      <c r="B360" s="192" t="s">
        <v>40</v>
      </c>
      <c r="C360" s="7" t="s">
        <v>701</v>
      </c>
      <c r="D360" s="67"/>
      <c r="E360" s="67" t="s">
        <v>301</v>
      </c>
      <c r="F360" s="50">
        <v>0.193</v>
      </c>
      <c r="G360" s="50">
        <f t="shared" si="29"/>
        <v>0.153</v>
      </c>
      <c r="H360" s="8">
        <v>12000</v>
      </c>
      <c r="I360" s="19">
        <v>12</v>
      </c>
      <c r="J360" s="19"/>
      <c r="K360" s="18" t="s">
        <v>643</v>
      </c>
    </row>
    <row r="361" spans="2:11" s="6" customFormat="1" ht="12">
      <c r="B361" s="192" t="s">
        <v>41</v>
      </c>
      <c r="C361" s="7" t="s">
        <v>700</v>
      </c>
      <c r="D361" s="67" t="s">
        <v>250</v>
      </c>
      <c r="E361" s="67"/>
      <c r="F361" s="50">
        <v>0.16900000000000001</v>
      </c>
      <c r="G361" s="50">
        <f t="shared" ref="G361:G366" si="31">F361-0.04</f>
        <v>0.129</v>
      </c>
      <c r="H361" s="8">
        <v>5000</v>
      </c>
      <c r="I361" s="19">
        <v>1</v>
      </c>
      <c r="J361" s="19"/>
      <c r="K361" s="18" t="s">
        <v>643</v>
      </c>
    </row>
    <row r="362" spans="2:11" s="6" customFormat="1" ht="12">
      <c r="B362" s="192" t="s">
        <v>168</v>
      </c>
      <c r="C362" s="7" t="s">
        <v>1266</v>
      </c>
      <c r="D362" s="68" t="s">
        <v>354</v>
      </c>
      <c r="E362" s="67" t="s">
        <v>631</v>
      </c>
      <c r="F362" s="50">
        <v>0.18</v>
      </c>
      <c r="G362" s="50">
        <f t="shared" si="31"/>
        <v>0.13999999999999999</v>
      </c>
      <c r="H362" s="8">
        <v>6000</v>
      </c>
      <c r="I362" s="19" t="s">
        <v>353</v>
      </c>
      <c r="J362" s="19"/>
      <c r="K362" s="18" t="s">
        <v>643</v>
      </c>
    </row>
    <row r="363" spans="2:11" s="6" customFormat="1" ht="12">
      <c r="B363" s="192" t="s">
        <v>42</v>
      </c>
      <c r="C363" s="7" t="s">
        <v>466</v>
      </c>
      <c r="D363" s="67"/>
      <c r="E363" s="67" t="s">
        <v>631</v>
      </c>
      <c r="F363" s="50">
        <v>0.23100000000000001</v>
      </c>
      <c r="G363" s="50">
        <f t="shared" si="31"/>
        <v>0.191</v>
      </c>
      <c r="H363" s="8">
        <v>5000</v>
      </c>
      <c r="I363" s="19"/>
      <c r="J363" s="19">
        <v>6</v>
      </c>
      <c r="K363" s="18" t="s">
        <v>643</v>
      </c>
    </row>
    <row r="364" spans="2:11" s="6" customFormat="1" ht="12">
      <c r="B364" s="192" t="s">
        <v>43</v>
      </c>
      <c r="C364" s="7" t="s">
        <v>979</v>
      </c>
      <c r="D364" s="67"/>
      <c r="E364" s="67" t="s">
        <v>301</v>
      </c>
      <c r="F364" s="50">
        <v>0.123</v>
      </c>
      <c r="G364" s="50">
        <f t="shared" si="31"/>
        <v>8.299999999999999E-2</v>
      </c>
      <c r="H364" s="8">
        <v>5000</v>
      </c>
      <c r="I364" s="19"/>
      <c r="J364" s="19">
        <v>6</v>
      </c>
      <c r="K364" s="18" t="s">
        <v>643</v>
      </c>
    </row>
    <row r="365" spans="2:11" s="6" customFormat="1" ht="12">
      <c r="B365" s="192" t="s">
        <v>44</v>
      </c>
      <c r="C365" s="7" t="s">
        <v>980</v>
      </c>
      <c r="D365" s="67"/>
      <c r="E365" s="67" t="s">
        <v>301</v>
      </c>
      <c r="F365" s="50">
        <v>0.123</v>
      </c>
      <c r="G365" s="50">
        <f t="shared" si="31"/>
        <v>8.299999999999999E-2</v>
      </c>
      <c r="H365" s="8">
        <v>20000</v>
      </c>
      <c r="I365" s="19">
        <v>6</v>
      </c>
      <c r="J365" s="19">
        <v>5</v>
      </c>
      <c r="K365" s="18" t="s">
        <v>643</v>
      </c>
    </row>
    <row r="366" spans="2:11" s="6" customFormat="1" ht="11.4" customHeight="1">
      <c r="B366" s="192" t="s">
        <v>411</v>
      </c>
      <c r="C366" s="7" t="s">
        <v>699</v>
      </c>
      <c r="D366" s="67"/>
      <c r="E366" s="67"/>
      <c r="F366" s="50">
        <v>0.28699999999999998</v>
      </c>
      <c r="G366" s="50">
        <f t="shared" si="31"/>
        <v>0.24699999999999997</v>
      </c>
      <c r="H366" s="8">
        <v>4000</v>
      </c>
      <c r="I366" s="19"/>
      <c r="J366" s="19"/>
      <c r="K366" s="18" t="s">
        <v>643</v>
      </c>
    </row>
    <row r="367" spans="2:11" s="6" customFormat="1" ht="12">
      <c r="B367" s="192" t="s">
        <v>451</v>
      </c>
      <c r="C367" s="191" t="s">
        <v>465</v>
      </c>
      <c r="D367" s="200" t="s">
        <v>452</v>
      </c>
      <c r="E367" s="67" t="s">
        <v>301</v>
      </c>
      <c r="F367" s="59" t="s">
        <v>337</v>
      </c>
      <c r="G367" s="50">
        <v>0.26500000000000001</v>
      </c>
      <c r="H367" s="8">
        <v>3840</v>
      </c>
      <c r="I367" s="19" t="s">
        <v>107</v>
      </c>
      <c r="J367" s="19"/>
      <c r="K367" s="139" t="s">
        <v>127</v>
      </c>
    </row>
    <row r="368" spans="2:11" s="6" customFormat="1" ht="12">
      <c r="B368" s="192" t="s">
        <v>169</v>
      </c>
      <c r="C368" s="7" t="s">
        <v>170</v>
      </c>
      <c r="D368" s="90" t="s">
        <v>400</v>
      </c>
      <c r="E368" s="68"/>
      <c r="F368" s="59" t="s">
        <v>337</v>
      </c>
      <c r="G368" s="50">
        <v>0.12</v>
      </c>
      <c r="H368" s="8">
        <v>10000</v>
      </c>
      <c r="I368" s="19">
        <v>8</v>
      </c>
      <c r="J368" s="19">
        <v>4</v>
      </c>
      <c r="K368" s="139" t="s">
        <v>127</v>
      </c>
    </row>
    <row r="369" spans="2:11" s="6" customFormat="1" ht="12">
      <c r="B369" s="192" t="s">
        <v>184</v>
      </c>
      <c r="C369" s="7" t="s">
        <v>961</v>
      </c>
      <c r="D369" s="144" t="s">
        <v>962</v>
      </c>
      <c r="E369" s="95" t="s">
        <v>272</v>
      </c>
      <c r="F369" s="84">
        <v>0.222</v>
      </c>
      <c r="G369" s="84">
        <f t="shared" ref="G369:G370" si="32">F369-0.04</f>
        <v>0.182</v>
      </c>
      <c r="H369" s="8">
        <v>5000</v>
      </c>
      <c r="I369" s="19">
        <v>7</v>
      </c>
      <c r="J369" s="19"/>
      <c r="K369" s="18" t="s">
        <v>643</v>
      </c>
    </row>
    <row r="370" spans="2:11" s="6" customFormat="1" ht="12">
      <c r="B370" s="140" t="s">
        <v>959</v>
      </c>
      <c r="C370" s="7" t="s">
        <v>960</v>
      </c>
      <c r="D370" s="144" t="s">
        <v>962</v>
      </c>
      <c r="E370" s="95" t="s">
        <v>272</v>
      </c>
      <c r="F370" s="84">
        <v>0.19</v>
      </c>
      <c r="G370" s="84">
        <f t="shared" si="32"/>
        <v>0.15</v>
      </c>
      <c r="H370" s="8">
        <v>5000</v>
      </c>
      <c r="I370" s="19">
        <v>7</v>
      </c>
      <c r="J370" s="19"/>
      <c r="K370" s="18" t="s">
        <v>643</v>
      </c>
    </row>
    <row r="371" spans="2:11" s="6" customFormat="1" ht="12">
      <c r="B371" s="192" t="s">
        <v>443</v>
      </c>
      <c r="C371" s="191" t="s">
        <v>698</v>
      </c>
      <c r="D371" s="68"/>
      <c r="E371" s="95"/>
      <c r="F371" s="84">
        <v>0.17699999999999999</v>
      </c>
      <c r="G371" s="84">
        <f>F371-0.04</f>
        <v>0.13699999999999998</v>
      </c>
      <c r="H371" s="8">
        <v>4000</v>
      </c>
      <c r="I371" s="19"/>
      <c r="J371" s="19">
        <v>5</v>
      </c>
      <c r="K371" s="18" t="s">
        <v>643</v>
      </c>
    </row>
    <row r="372" spans="2:11" s="6" customFormat="1" ht="12">
      <c r="B372" s="192" t="s">
        <v>227</v>
      </c>
      <c r="C372" s="7" t="s">
        <v>564</v>
      </c>
      <c r="D372" s="67" t="s">
        <v>308</v>
      </c>
      <c r="E372" s="67" t="s">
        <v>301</v>
      </c>
      <c r="F372" s="84">
        <v>0.23499999999999999</v>
      </c>
      <c r="G372" s="84">
        <f t="shared" ref="G372:G380" si="33">F372-0.04</f>
        <v>0.19499999999999998</v>
      </c>
      <c r="H372" s="8">
        <v>5000</v>
      </c>
      <c r="I372" s="19"/>
      <c r="J372" s="19">
        <v>6</v>
      </c>
      <c r="K372" s="18" t="s">
        <v>643</v>
      </c>
    </row>
    <row r="373" spans="2:11" s="6" customFormat="1" ht="12">
      <c r="B373" s="192" t="s">
        <v>306</v>
      </c>
      <c r="C373" s="7" t="s">
        <v>884</v>
      </c>
      <c r="D373" s="67"/>
      <c r="E373" s="67" t="s">
        <v>301</v>
      </c>
      <c r="F373" s="50">
        <v>0.20799999999999999</v>
      </c>
      <c r="G373" s="84">
        <f t="shared" si="33"/>
        <v>0.16799999999999998</v>
      </c>
      <c r="H373" s="8">
        <v>4000</v>
      </c>
      <c r="I373" s="19"/>
      <c r="J373" s="19">
        <v>4</v>
      </c>
      <c r="K373" s="18" t="s">
        <v>643</v>
      </c>
    </row>
    <row r="374" spans="2:11" s="6" customFormat="1" ht="12">
      <c r="B374" s="192" t="s">
        <v>309</v>
      </c>
      <c r="C374" s="191" t="s">
        <v>310</v>
      </c>
      <c r="D374" s="67"/>
      <c r="E374" s="67" t="s">
        <v>301</v>
      </c>
      <c r="F374" s="50">
        <v>0.16900000000000001</v>
      </c>
      <c r="G374" s="84">
        <f t="shared" si="33"/>
        <v>0.129</v>
      </c>
      <c r="H374" s="8">
        <v>6000</v>
      </c>
      <c r="I374" s="19">
        <v>6</v>
      </c>
      <c r="J374" s="19"/>
      <c r="K374" s="189" t="s">
        <v>518</v>
      </c>
    </row>
    <row r="375" spans="2:11" s="6" customFormat="1" ht="12">
      <c r="B375" s="140" t="s">
        <v>947</v>
      </c>
      <c r="C375" s="7" t="s">
        <v>311</v>
      </c>
      <c r="D375" s="67"/>
      <c r="E375" s="67" t="s">
        <v>301</v>
      </c>
      <c r="F375" s="50">
        <v>0.22</v>
      </c>
      <c r="G375" s="84">
        <f t="shared" si="33"/>
        <v>0.18</v>
      </c>
      <c r="H375" s="8">
        <v>6000</v>
      </c>
      <c r="I375" s="19">
        <v>6</v>
      </c>
      <c r="J375" s="19"/>
      <c r="K375" s="189" t="s">
        <v>518</v>
      </c>
    </row>
    <row r="376" spans="2:11" s="6" customFormat="1" ht="12">
      <c r="B376" s="16" t="s">
        <v>319</v>
      </c>
      <c r="C376" s="7" t="s">
        <v>323</v>
      </c>
      <c r="D376" s="67"/>
      <c r="E376" s="67"/>
      <c r="F376" s="50">
        <v>0.23300000000000001</v>
      </c>
      <c r="G376" s="84">
        <f t="shared" si="33"/>
        <v>0.193</v>
      </c>
      <c r="H376" s="8">
        <v>4000</v>
      </c>
      <c r="I376" s="19"/>
      <c r="J376" s="19">
        <v>4</v>
      </c>
      <c r="K376" s="189" t="s">
        <v>518</v>
      </c>
    </row>
    <row r="377" spans="2:11" s="6" customFormat="1" ht="12">
      <c r="B377" s="140" t="s">
        <v>948</v>
      </c>
      <c r="C377" s="7" t="s">
        <v>321</v>
      </c>
      <c r="D377" s="67"/>
      <c r="E377" s="67"/>
      <c r="F377" s="50">
        <v>0.27500000000000002</v>
      </c>
      <c r="G377" s="84">
        <f t="shared" si="33"/>
        <v>0.23500000000000001</v>
      </c>
      <c r="H377" s="8">
        <v>4000</v>
      </c>
      <c r="I377" s="19"/>
      <c r="J377" s="19">
        <v>4</v>
      </c>
      <c r="K377" s="189" t="s">
        <v>518</v>
      </c>
    </row>
    <row r="378" spans="2:11" s="6" customFormat="1" ht="12">
      <c r="B378" s="16" t="s">
        <v>320</v>
      </c>
      <c r="C378" s="7" t="s">
        <v>324</v>
      </c>
      <c r="D378" s="67"/>
      <c r="E378" s="67"/>
      <c r="F378" s="50">
        <v>0.26700000000000002</v>
      </c>
      <c r="G378" s="84">
        <f t="shared" si="33"/>
        <v>0.22700000000000001</v>
      </c>
      <c r="H378" s="8">
        <v>3000</v>
      </c>
      <c r="I378" s="19"/>
      <c r="J378" s="19">
        <v>5</v>
      </c>
      <c r="K378" s="18" t="s">
        <v>643</v>
      </c>
    </row>
    <row r="379" spans="2:11" s="6" customFormat="1" ht="12">
      <c r="B379" s="140" t="s">
        <v>949</v>
      </c>
      <c r="C379" s="7" t="s">
        <v>322</v>
      </c>
      <c r="D379" s="67"/>
      <c r="E379" s="67"/>
      <c r="F379" s="50">
        <v>0.33</v>
      </c>
      <c r="G379" s="84">
        <f t="shared" si="33"/>
        <v>0.29000000000000004</v>
      </c>
      <c r="H379" s="8">
        <v>3000</v>
      </c>
      <c r="I379" s="19"/>
      <c r="J379" s="19">
        <v>5</v>
      </c>
      <c r="K379" s="18" t="s">
        <v>643</v>
      </c>
    </row>
    <row r="380" spans="2:11" s="6" customFormat="1" ht="12">
      <c r="B380" s="192" t="s">
        <v>331</v>
      </c>
      <c r="C380" s="7" t="s">
        <v>697</v>
      </c>
      <c r="D380" s="67"/>
      <c r="E380" s="67" t="s">
        <v>301</v>
      </c>
      <c r="F380" s="50">
        <v>0.22500000000000001</v>
      </c>
      <c r="G380" s="84">
        <f t="shared" si="33"/>
        <v>0.185</v>
      </c>
      <c r="H380" s="8">
        <v>4000</v>
      </c>
      <c r="I380" s="19"/>
      <c r="J380" s="19">
        <v>4</v>
      </c>
      <c r="K380" s="18" t="s">
        <v>643</v>
      </c>
    </row>
    <row r="381" spans="2:11" s="6" customFormat="1" ht="12">
      <c r="B381" s="192" t="s">
        <v>342</v>
      </c>
      <c r="C381" s="191" t="s">
        <v>343</v>
      </c>
      <c r="D381" s="144" t="s">
        <v>963</v>
      </c>
      <c r="E381" s="67"/>
      <c r="F381" s="84">
        <v>0.23499999999999999</v>
      </c>
      <c r="G381" s="50"/>
      <c r="H381" s="8">
        <v>4000</v>
      </c>
      <c r="I381" s="19">
        <v>7</v>
      </c>
      <c r="J381" s="19"/>
      <c r="K381" s="18" t="s">
        <v>643</v>
      </c>
    </row>
    <row r="382" spans="2:11" s="6" customFormat="1" ht="12">
      <c r="B382" s="192" t="s">
        <v>345</v>
      </c>
      <c r="C382" s="191" t="s">
        <v>401</v>
      </c>
      <c r="D382" s="144" t="s">
        <v>346</v>
      </c>
      <c r="E382" s="67"/>
      <c r="F382" s="84">
        <v>0.186</v>
      </c>
      <c r="G382" s="50">
        <f t="shared" ref="G382:G387" si="34">F382-0.04</f>
        <v>0.14599999999999999</v>
      </c>
      <c r="H382" s="8">
        <v>10000</v>
      </c>
      <c r="I382" s="19">
        <v>6</v>
      </c>
      <c r="J382" s="19"/>
      <c r="K382" s="18" t="s">
        <v>643</v>
      </c>
    </row>
    <row r="383" spans="2:11" s="6" customFormat="1" ht="12">
      <c r="B383" s="192" t="s">
        <v>350</v>
      </c>
      <c r="C383" s="191" t="s">
        <v>696</v>
      </c>
      <c r="D383" s="68"/>
      <c r="E383" s="67" t="s">
        <v>301</v>
      </c>
      <c r="F383" s="84">
        <v>0.24299999999999999</v>
      </c>
      <c r="G383" s="50">
        <f t="shared" si="34"/>
        <v>0.20299999999999999</v>
      </c>
      <c r="H383" s="8">
        <v>4000</v>
      </c>
      <c r="I383" s="19">
        <v>4</v>
      </c>
      <c r="J383" s="19"/>
      <c r="K383" s="18" t="s">
        <v>643</v>
      </c>
    </row>
    <row r="384" spans="2:11" s="6" customFormat="1" ht="12">
      <c r="B384" s="192" t="s">
        <v>351</v>
      </c>
      <c r="C384" s="7" t="s">
        <v>402</v>
      </c>
      <c r="D384" s="144" t="s">
        <v>406</v>
      </c>
      <c r="E384" s="67" t="s">
        <v>301</v>
      </c>
      <c r="F384" s="84">
        <v>0.188</v>
      </c>
      <c r="G384" s="50">
        <f t="shared" si="34"/>
        <v>0.14799999999999999</v>
      </c>
      <c r="H384" s="8">
        <v>6000</v>
      </c>
      <c r="I384" s="19">
        <v>6</v>
      </c>
      <c r="J384" s="19"/>
      <c r="K384" s="18" t="s">
        <v>643</v>
      </c>
    </row>
    <row r="385" spans="2:11" s="6" customFormat="1" ht="12">
      <c r="B385" s="192" t="s">
        <v>352</v>
      </c>
      <c r="C385" s="7" t="s">
        <v>565</v>
      </c>
      <c r="D385" s="144" t="s">
        <v>403</v>
      </c>
      <c r="E385" s="67" t="s">
        <v>301</v>
      </c>
      <c r="F385" s="84">
        <v>0.19800000000000001</v>
      </c>
      <c r="G385" s="50">
        <f t="shared" si="34"/>
        <v>0.158</v>
      </c>
      <c r="H385" s="8">
        <v>4000</v>
      </c>
      <c r="I385" s="19"/>
      <c r="J385" s="19"/>
      <c r="K385" s="18" t="s">
        <v>643</v>
      </c>
    </row>
    <row r="386" spans="2:11" s="6" customFormat="1" ht="12">
      <c r="B386" s="192" t="s">
        <v>389</v>
      </c>
      <c r="C386" s="191" t="s">
        <v>695</v>
      </c>
      <c r="D386" s="68" t="s">
        <v>354</v>
      </c>
      <c r="E386" s="67" t="s">
        <v>301</v>
      </c>
      <c r="F386" s="84">
        <v>0.27100000000000002</v>
      </c>
      <c r="G386" s="50">
        <f t="shared" si="34"/>
        <v>0.23100000000000001</v>
      </c>
      <c r="H386" s="8">
        <v>4000</v>
      </c>
      <c r="I386" s="19">
        <v>4</v>
      </c>
      <c r="J386" s="19">
        <v>5</v>
      </c>
      <c r="K386" s="189" t="s">
        <v>518</v>
      </c>
    </row>
    <row r="387" spans="2:11" s="6" customFormat="1" ht="12">
      <c r="B387" s="192" t="s">
        <v>404</v>
      </c>
      <c r="C387" s="191" t="s">
        <v>694</v>
      </c>
      <c r="D387" s="68"/>
      <c r="E387" s="67" t="s">
        <v>301</v>
      </c>
      <c r="F387" s="84">
        <v>0.17699999999999999</v>
      </c>
      <c r="G387" s="50">
        <f t="shared" si="34"/>
        <v>0.13699999999999998</v>
      </c>
      <c r="H387" s="8">
        <v>4000</v>
      </c>
      <c r="I387" s="19">
        <v>4</v>
      </c>
      <c r="J387" s="19"/>
      <c r="K387" s="18" t="s">
        <v>643</v>
      </c>
    </row>
    <row r="388" spans="2:11" s="6" customFormat="1" ht="12">
      <c r="B388" s="16"/>
      <c r="C388" s="7"/>
      <c r="D388" s="67"/>
      <c r="E388" s="67"/>
      <c r="F388" s="52"/>
      <c r="G388" s="52"/>
      <c r="H388" s="8"/>
      <c r="I388" s="19"/>
      <c r="J388" s="19"/>
      <c r="K388" s="18"/>
    </row>
    <row r="389" spans="2:11" s="6" customFormat="1">
      <c r="B389" s="326" t="s">
        <v>644</v>
      </c>
      <c r="C389" s="335"/>
      <c r="D389" s="335"/>
      <c r="E389" s="335"/>
      <c r="F389" s="335"/>
      <c r="G389" s="335"/>
      <c r="H389" s="335"/>
      <c r="I389" s="335"/>
      <c r="J389" s="335"/>
      <c r="K389" s="336"/>
    </row>
    <row r="390" spans="2:11" s="6" customFormat="1" ht="12.6" thickBot="1">
      <c r="B390" s="17"/>
      <c r="C390" s="9"/>
      <c r="D390" s="69"/>
      <c r="E390" s="69"/>
      <c r="F390" s="53"/>
      <c r="G390" s="53"/>
      <c r="H390" s="9"/>
      <c r="I390" s="9"/>
      <c r="J390" s="9"/>
      <c r="K390" s="10"/>
    </row>
    <row r="391" spans="2:11" s="71" customFormat="1" ht="13.5" customHeight="1">
      <c r="B391" s="164" t="s">
        <v>1289</v>
      </c>
      <c r="C391" s="72"/>
      <c r="D391" s="73"/>
      <c r="E391" s="73"/>
      <c r="F391" s="74"/>
      <c r="G391" s="74"/>
      <c r="H391" s="72"/>
      <c r="I391" s="72"/>
      <c r="J391" s="72"/>
      <c r="K391" s="75"/>
    </row>
    <row r="392" spans="2:11" s="6" customFormat="1" ht="12.6" thickBot="1">
      <c r="B392" s="170" t="s">
        <v>3</v>
      </c>
      <c r="C392" s="171" t="s">
        <v>4</v>
      </c>
      <c r="D392" s="172" t="s">
        <v>5</v>
      </c>
      <c r="E392" s="172" t="s">
        <v>302</v>
      </c>
      <c r="F392" s="331" t="s">
        <v>80</v>
      </c>
      <c r="G392" s="332"/>
      <c r="H392" s="173" t="s">
        <v>6</v>
      </c>
      <c r="I392" s="337" t="s">
        <v>7</v>
      </c>
      <c r="J392" s="338"/>
      <c r="K392" s="155" t="s">
        <v>375</v>
      </c>
    </row>
    <row r="393" spans="2:11">
      <c r="B393" s="156"/>
      <c r="C393" s="157"/>
      <c r="D393" s="158"/>
      <c r="E393" s="158"/>
      <c r="F393" s="159" t="s">
        <v>361</v>
      </c>
      <c r="G393" s="160" t="s">
        <v>82</v>
      </c>
      <c r="H393" s="161" t="s">
        <v>2</v>
      </c>
      <c r="I393" s="162" t="s">
        <v>0</v>
      </c>
      <c r="J393" s="162" t="s">
        <v>1</v>
      </c>
      <c r="K393" s="163"/>
    </row>
    <row r="394" spans="2:11" s="116" customFormat="1" ht="12">
      <c r="B394" s="270">
        <v>256502</v>
      </c>
      <c r="C394" s="244" t="s">
        <v>970</v>
      </c>
      <c r="D394" s="245"/>
      <c r="E394" s="245"/>
      <c r="F394" s="109">
        <v>0.33400000000000002</v>
      </c>
      <c r="G394" s="277">
        <f t="shared" ref="G394:G412" si="35">F394-0.08</f>
        <v>0.254</v>
      </c>
      <c r="H394" s="258">
        <v>4000</v>
      </c>
      <c r="I394" s="247">
        <v>8</v>
      </c>
      <c r="J394" s="259"/>
      <c r="K394" s="248" t="s">
        <v>501</v>
      </c>
    </row>
    <row r="395" spans="2:11" s="116" customFormat="1" ht="12">
      <c r="B395" s="270">
        <v>256501</v>
      </c>
      <c r="C395" s="244" t="s">
        <v>964</v>
      </c>
      <c r="D395" s="245"/>
      <c r="E395" s="245"/>
      <c r="F395" s="109">
        <v>0.29299999999999998</v>
      </c>
      <c r="G395" s="277"/>
      <c r="H395" s="258">
        <v>2000</v>
      </c>
      <c r="I395" s="247">
        <v>12</v>
      </c>
      <c r="J395" s="259">
        <v>24</v>
      </c>
      <c r="K395" s="248" t="s">
        <v>501</v>
      </c>
    </row>
    <row r="396" spans="2:11" s="116" customFormat="1" ht="12">
      <c r="B396" s="270">
        <v>246502</v>
      </c>
      <c r="C396" s="244" t="s">
        <v>363</v>
      </c>
      <c r="D396" s="245"/>
      <c r="E396" s="245"/>
      <c r="F396" s="109">
        <v>0.16700000000000001</v>
      </c>
      <c r="G396" s="277">
        <f t="shared" si="35"/>
        <v>8.7000000000000008E-2</v>
      </c>
      <c r="H396" s="258">
        <v>2000</v>
      </c>
      <c r="I396" s="247">
        <v>6</v>
      </c>
      <c r="J396" s="259"/>
      <c r="K396" s="115" t="s">
        <v>501</v>
      </c>
    </row>
    <row r="397" spans="2:11" s="116" customFormat="1" ht="12">
      <c r="B397" s="270">
        <v>246501</v>
      </c>
      <c r="C397" s="244" t="s">
        <v>836</v>
      </c>
      <c r="D397" s="245"/>
      <c r="E397" s="245"/>
      <c r="F397" s="109">
        <v>0.35399999999999998</v>
      </c>
      <c r="G397" s="277"/>
      <c r="H397" s="258">
        <v>2000</v>
      </c>
      <c r="I397" s="247">
        <v>5</v>
      </c>
      <c r="J397" s="259"/>
      <c r="K397" s="115" t="s">
        <v>501</v>
      </c>
    </row>
    <row r="398" spans="2:11" s="116" customFormat="1" ht="12">
      <c r="B398" s="193">
        <v>236501</v>
      </c>
      <c r="C398" s="111" t="s">
        <v>835</v>
      </c>
      <c r="D398" s="112"/>
      <c r="E398" s="112" t="s">
        <v>301</v>
      </c>
      <c r="F398" s="106">
        <v>0.26200000000000001</v>
      </c>
      <c r="G398" s="277">
        <f t="shared" si="35"/>
        <v>0.182</v>
      </c>
      <c r="H398" s="113">
        <v>2000</v>
      </c>
      <c r="I398" s="114"/>
      <c r="J398" s="233">
        <v>9</v>
      </c>
      <c r="K398" s="115" t="s">
        <v>501</v>
      </c>
    </row>
    <row r="399" spans="2:11" s="116" customFormat="1" ht="12">
      <c r="B399" s="193">
        <v>236502</v>
      </c>
      <c r="C399" s="111" t="s">
        <v>573</v>
      </c>
      <c r="D399" s="112"/>
      <c r="E399" s="112"/>
      <c r="F399" s="106">
        <v>0.246</v>
      </c>
      <c r="G399" s="277"/>
      <c r="H399" s="113">
        <v>2000</v>
      </c>
      <c r="I399" s="114"/>
      <c r="J399" s="233"/>
      <c r="K399" s="115" t="s">
        <v>501</v>
      </c>
    </row>
    <row r="400" spans="2:11" s="116" customFormat="1" ht="12">
      <c r="B400" s="193">
        <v>236503</v>
      </c>
      <c r="C400" s="111" t="s">
        <v>580</v>
      </c>
      <c r="D400" s="112"/>
      <c r="E400" s="112" t="s">
        <v>301</v>
      </c>
      <c r="F400" s="106">
        <v>0.154</v>
      </c>
      <c r="G400" s="277"/>
      <c r="H400" s="113">
        <v>2000</v>
      </c>
      <c r="I400" s="114">
        <v>8</v>
      </c>
      <c r="J400" s="233"/>
      <c r="K400" s="115" t="s">
        <v>501</v>
      </c>
    </row>
    <row r="401" spans="2:11" s="116" customFormat="1" ht="12">
      <c r="B401" s="193">
        <v>236504</v>
      </c>
      <c r="C401" s="111" t="s">
        <v>834</v>
      </c>
      <c r="D401" s="112"/>
      <c r="E401" s="112"/>
      <c r="F401" s="106">
        <v>0.15</v>
      </c>
      <c r="G401" s="277">
        <f t="shared" si="35"/>
        <v>6.9999999999999993E-2</v>
      </c>
      <c r="H401" s="113">
        <v>4000</v>
      </c>
      <c r="I401" s="114">
        <v>4</v>
      </c>
      <c r="J401" s="233">
        <v>4</v>
      </c>
      <c r="K401" s="115" t="s">
        <v>501</v>
      </c>
    </row>
    <row r="402" spans="2:11" s="116" customFormat="1" ht="12">
      <c r="B402" s="193">
        <v>236505</v>
      </c>
      <c r="C402" s="111" t="s">
        <v>833</v>
      </c>
      <c r="D402" s="112" t="s">
        <v>604</v>
      </c>
      <c r="E402" s="112" t="s">
        <v>301</v>
      </c>
      <c r="F402" s="106">
        <v>0.26700000000000002</v>
      </c>
      <c r="G402" s="277">
        <f t="shared" si="35"/>
        <v>0.187</v>
      </c>
      <c r="H402" s="113">
        <v>5000</v>
      </c>
      <c r="I402" s="114">
        <v>4</v>
      </c>
      <c r="J402" s="233">
        <v>5</v>
      </c>
      <c r="K402" s="115" t="s">
        <v>501</v>
      </c>
    </row>
    <row r="403" spans="2:11" s="116" customFormat="1" ht="12">
      <c r="B403" s="193">
        <v>236509</v>
      </c>
      <c r="C403" s="111" t="s">
        <v>832</v>
      </c>
      <c r="D403" s="112"/>
      <c r="E403" s="112"/>
      <c r="F403" s="106">
        <v>0.16300000000000001</v>
      </c>
      <c r="G403" s="277">
        <f t="shared" si="35"/>
        <v>8.3000000000000004E-2</v>
      </c>
      <c r="H403" s="113">
        <v>2400</v>
      </c>
      <c r="I403" s="114"/>
      <c r="J403" s="233">
        <v>5</v>
      </c>
      <c r="K403" s="115" t="s">
        <v>501</v>
      </c>
    </row>
    <row r="404" spans="2:11" s="116" customFormat="1" ht="12">
      <c r="B404" s="193">
        <v>226501</v>
      </c>
      <c r="C404" s="111" t="s">
        <v>511</v>
      </c>
      <c r="D404" s="112"/>
      <c r="E404" s="112"/>
      <c r="F404" s="106">
        <v>0.16300000000000001</v>
      </c>
      <c r="G404" s="277">
        <f t="shared" ref="G404" si="36">F404-0.08</f>
        <v>8.3000000000000004E-2</v>
      </c>
      <c r="H404" s="113">
        <v>6000</v>
      </c>
      <c r="I404" s="114"/>
      <c r="J404" s="233">
        <v>4</v>
      </c>
      <c r="K404" s="115" t="s">
        <v>501</v>
      </c>
    </row>
    <row r="405" spans="2:11" s="116" customFormat="1" ht="12">
      <c r="B405" s="193">
        <v>226502</v>
      </c>
      <c r="C405" s="111" t="s">
        <v>512</v>
      </c>
      <c r="D405" s="112"/>
      <c r="E405" s="112"/>
      <c r="F405" s="106">
        <v>0.26900000000000002</v>
      </c>
      <c r="G405" s="277">
        <f t="shared" si="35"/>
        <v>0.189</v>
      </c>
      <c r="H405" s="113">
        <v>4000</v>
      </c>
      <c r="I405" s="114">
        <v>8</v>
      </c>
      <c r="J405" s="233"/>
      <c r="K405" s="115" t="s">
        <v>501</v>
      </c>
    </row>
    <row r="406" spans="2:11" s="116" customFormat="1" ht="12">
      <c r="B406" s="193">
        <v>226503</v>
      </c>
      <c r="C406" s="111" t="s">
        <v>513</v>
      </c>
      <c r="D406" s="112"/>
      <c r="E406" s="112"/>
      <c r="F406" s="106">
        <v>0.26900000000000002</v>
      </c>
      <c r="G406" s="277">
        <f t="shared" si="35"/>
        <v>0.189</v>
      </c>
      <c r="H406" s="113">
        <v>4000</v>
      </c>
      <c r="I406" s="114">
        <v>8</v>
      </c>
      <c r="J406" s="233"/>
      <c r="K406" s="115" t="s">
        <v>501</v>
      </c>
    </row>
    <row r="407" spans="2:11" s="6" customFormat="1" ht="12">
      <c r="B407" s="193">
        <v>226504</v>
      </c>
      <c r="C407" s="7" t="s">
        <v>874</v>
      </c>
      <c r="D407" s="67" t="s">
        <v>875</v>
      </c>
      <c r="E407" s="67" t="s">
        <v>301</v>
      </c>
      <c r="F407" s="50">
        <v>0.14000000000000001</v>
      </c>
      <c r="G407" s="277">
        <f t="shared" si="35"/>
        <v>6.0000000000000012E-2</v>
      </c>
      <c r="H407" s="8">
        <v>4000</v>
      </c>
      <c r="I407" s="19"/>
      <c r="J407" s="234" t="s">
        <v>488</v>
      </c>
      <c r="K407" s="115" t="s">
        <v>501</v>
      </c>
    </row>
    <row r="408" spans="2:11" s="6" customFormat="1" ht="12">
      <c r="B408" s="193">
        <v>226506</v>
      </c>
      <c r="C408" s="7" t="s">
        <v>831</v>
      </c>
      <c r="D408" s="67"/>
      <c r="E408" s="67"/>
      <c r="F408" s="50">
        <v>0.25800000000000001</v>
      </c>
      <c r="G408" s="277">
        <f t="shared" si="35"/>
        <v>0.17799999999999999</v>
      </c>
      <c r="H408" s="8">
        <v>2400</v>
      </c>
      <c r="I408" s="19">
        <v>6</v>
      </c>
      <c r="J408" s="233"/>
      <c r="K408" s="115" t="s">
        <v>501</v>
      </c>
    </row>
    <row r="409" spans="2:11" s="6" customFormat="1" ht="12">
      <c r="B409" s="193">
        <v>226507</v>
      </c>
      <c r="C409" s="7" t="s">
        <v>830</v>
      </c>
      <c r="D409" s="67" t="s">
        <v>546</v>
      </c>
      <c r="E409" s="67" t="s">
        <v>301</v>
      </c>
      <c r="F409" s="50">
        <v>0.32200000000000001</v>
      </c>
      <c r="G409" s="277"/>
      <c r="H409" s="8">
        <v>2000</v>
      </c>
      <c r="I409" s="19" t="s">
        <v>107</v>
      </c>
      <c r="J409" s="233"/>
      <c r="K409" s="115" t="s">
        <v>501</v>
      </c>
    </row>
    <row r="410" spans="2:11" s="6" customFormat="1" ht="12">
      <c r="B410" s="193">
        <v>226508</v>
      </c>
      <c r="C410" s="7" t="s">
        <v>545</v>
      </c>
      <c r="D410" s="67" t="s">
        <v>547</v>
      </c>
      <c r="E410" s="67"/>
      <c r="F410" s="50">
        <v>0.32200000000000001</v>
      </c>
      <c r="G410" s="277"/>
      <c r="H410" s="8">
        <v>4000</v>
      </c>
      <c r="I410" s="19" t="s">
        <v>107</v>
      </c>
      <c r="J410" s="233"/>
      <c r="K410" s="115" t="s">
        <v>501</v>
      </c>
    </row>
    <row r="411" spans="2:11" s="6" customFormat="1" ht="12">
      <c r="B411" s="193">
        <v>226509</v>
      </c>
      <c r="C411" s="7" t="s">
        <v>552</v>
      </c>
      <c r="D411" s="67"/>
      <c r="E411" s="67"/>
      <c r="F411" s="50">
        <v>0.248</v>
      </c>
      <c r="G411" s="277">
        <f t="shared" si="35"/>
        <v>0.16799999999999998</v>
      </c>
      <c r="H411" s="8">
        <v>2400</v>
      </c>
      <c r="I411" s="19">
        <v>6</v>
      </c>
      <c r="J411" s="233"/>
      <c r="K411" s="115" t="s">
        <v>501</v>
      </c>
    </row>
    <row r="412" spans="2:11" s="6" customFormat="1" ht="12">
      <c r="B412" s="193">
        <v>226511</v>
      </c>
      <c r="C412" s="7" t="s">
        <v>572</v>
      </c>
      <c r="D412" s="67" t="s">
        <v>566</v>
      </c>
      <c r="E412" s="67" t="s">
        <v>301</v>
      </c>
      <c r="F412" s="50">
        <v>0.23499999999999999</v>
      </c>
      <c r="G412" s="277">
        <f t="shared" si="35"/>
        <v>0.15499999999999997</v>
      </c>
      <c r="H412" s="8">
        <v>6000</v>
      </c>
      <c r="I412" s="19">
        <v>12</v>
      </c>
      <c r="J412" s="233"/>
      <c r="K412" s="115" t="s">
        <v>501</v>
      </c>
    </row>
    <row r="413" spans="2:11" s="6" customFormat="1" ht="12">
      <c r="B413" s="193">
        <v>226512</v>
      </c>
      <c r="C413" s="7" t="s">
        <v>569</v>
      </c>
      <c r="D413" s="67" t="s">
        <v>476</v>
      </c>
      <c r="E413" s="67"/>
      <c r="F413" s="50">
        <v>0.32</v>
      </c>
      <c r="G413" s="277"/>
      <c r="H413" s="8">
        <v>2000</v>
      </c>
      <c r="I413" s="19"/>
      <c r="J413" s="233"/>
      <c r="K413" s="115" t="s">
        <v>501</v>
      </c>
    </row>
    <row r="414" spans="2:11" s="116" customFormat="1" ht="12">
      <c r="B414" s="193">
        <v>216501</v>
      </c>
      <c r="C414" s="111" t="s">
        <v>479</v>
      </c>
      <c r="D414" s="112"/>
      <c r="E414" s="112"/>
      <c r="F414" s="106">
        <v>0.33</v>
      </c>
      <c r="G414" s="277">
        <f>F414-0.08</f>
        <v>0.25</v>
      </c>
      <c r="H414" s="113">
        <v>4000</v>
      </c>
      <c r="I414" s="114"/>
      <c r="J414" s="233">
        <v>5</v>
      </c>
      <c r="K414" s="115" t="s">
        <v>501</v>
      </c>
    </row>
    <row r="415" spans="2:11" s="116" customFormat="1" ht="12">
      <c r="B415" s="193">
        <v>216502</v>
      </c>
      <c r="C415" s="111" t="s">
        <v>473</v>
      </c>
      <c r="D415" s="112"/>
      <c r="E415" s="112" t="s">
        <v>301</v>
      </c>
      <c r="F415" s="106">
        <v>0.186</v>
      </c>
      <c r="G415" s="277">
        <f t="shared" ref="G415:G421" si="37">F415-0.08</f>
        <v>0.106</v>
      </c>
      <c r="H415" s="113">
        <v>2400</v>
      </c>
      <c r="I415" s="114">
        <v>6</v>
      </c>
      <c r="J415" s="233">
        <v>4</v>
      </c>
      <c r="K415" s="115" t="s">
        <v>501</v>
      </c>
    </row>
    <row r="416" spans="2:11" s="116" customFormat="1" ht="12">
      <c r="B416" s="141" t="s">
        <v>840</v>
      </c>
      <c r="C416" s="111" t="s">
        <v>841</v>
      </c>
      <c r="D416" s="112"/>
      <c r="E416" s="112"/>
      <c r="F416" s="106">
        <v>0.26900000000000002</v>
      </c>
      <c r="G416" s="277">
        <f t="shared" si="37"/>
        <v>0.189</v>
      </c>
      <c r="H416" s="113">
        <v>2400</v>
      </c>
      <c r="I416" s="114">
        <v>6</v>
      </c>
      <c r="J416" s="233">
        <v>4</v>
      </c>
      <c r="K416" s="115" t="s">
        <v>501</v>
      </c>
    </row>
    <row r="417" spans="2:11" s="116" customFormat="1" ht="12">
      <c r="B417" s="193">
        <v>216504</v>
      </c>
      <c r="C417" s="111" t="s">
        <v>474</v>
      </c>
      <c r="D417" s="112" t="s">
        <v>476</v>
      </c>
      <c r="E417" s="112"/>
      <c r="F417" s="106">
        <v>0.41099999999999998</v>
      </c>
      <c r="G417" s="277"/>
      <c r="H417" s="113">
        <v>1200</v>
      </c>
      <c r="I417" s="114" t="s">
        <v>475</v>
      </c>
      <c r="J417" s="233"/>
      <c r="K417" s="115" t="s">
        <v>501</v>
      </c>
    </row>
    <row r="418" spans="2:11" s="116" customFormat="1" ht="12">
      <c r="B418" s="193">
        <v>216505</v>
      </c>
      <c r="C418" s="111" t="s">
        <v>829</v>
      </c>
      <c r="D418" s="112" t="s">
        <v>476</v>
      </c>
      <c r="E418" s="112"/>
      <c r="F418" s="106">
        <v>0.374</v>
      </c>
      <c r="G418" s="277"/>
      <c r="H418" s="113">
        <v>1200</v>
      </c>
      <c r="I418" s="114"/>
      <c r="J418" s="233">
        <v>4</v>
      </c>
      <c r="K418" s="115" t="s">
        <v>501</v>
      </c>
    </row>
    <row r="419" spans="2:11" s="116" customFormat="1" ht="12">
      <c r="B419" s="193">
        <v>216506</v>
      </c>
      <c r="C419" s="111" t="s">
        <v>483</v>
      </c>
      <c r="D419" s="112" t="s">
        <v>484</v>
      </c>
      <c r="E419" s="112"/>
      <c r="F419" s="106">
        <v>0.21</v>
      </c>
      <c r="G419" s="277">
        <f t="shared" si="37"/>
        <v>0.13</v>
      </c>
      <c r="H419" s="113">
        <v>2000</v>
      </c>
      <c r="I419" s="114"/>
      <c r="J419" s="233">
        <v>6</v>
      </c>
      <c r="K419" s="115" t="s">
        <v>501</v>
      </c>
    </row>
    <row r="420" spans="2:11" s="116" customFormat="1" ht="12">
      <c r="B420" s="193">
        <v>216507</v>
      </c>
      <c r="C420" s="111" t="s">
        <v>503</v>
      </c>
      <c r="D420" s="112"/>
      <c r="E420" s="112"/>
      <c r="F420" s="106">
        <v>0.16300000000000001</v>
      </c>
      <c r="G420" s="277">
        <f t="shared" si="37"/>
        <v>8.3000000000000004E-2</v>
      </c>
      <c r="H420" s="113">
        <v>4800</v>
      </c>
      <c r="I420" s="114"/>
      <c r="J420" s="233">
        <v>4</v>
      </c>
      <c r="K420" s="115" t="s">
        <v>501</v>
      </c>
    </row>
    <row r="421" spans="2:11" s="116" customFormat="1" ht="12">
      <c r="B421" s="193">
        <v>216508</v>
      </c>
      <c r="C421" s="111" t="s">
        <v>505</v>
      </c>
      <c r="D421" s="112" t="s">
        <v>506</v>
      </c>
      <c r="E421" s="112" t="s">
        <v>301</v>
      </c>
      <c r="F421" s="106">
        <v>0.26500000000000001</v>
      </c>
      <c r="G421" s="277">
        <f t="shared" si="37"/>
        <v>0.185</v>
      </c>
      <c r="H421" s="113">
        <v>3600</v>
      </c>
      <c r="I421" s="114"/>
      <c r="J421" s="233">
        <v>6</v>
      </c>
      <c r="K421" s="115" t="s">
        <v>501</v>
      </c>
    </row>
    <row r="422" spans="2:11" s="116" customFormat="1" ht="12">
      <c r="B422" s="193">
        <v>206502</v>
      </c>
      <c r="C422" s="111" t="s">
        <v>456</v>
      </c>
      <c r="D422" s="112"/>
      <c r="E422" s="112"/>
      <c r="F422" s="106">
        <v>0.27300000000000002</v>
      </c>
      <c r="G422" s="277">
        <f t="shared" ref="G422:G436" si="38">F422-0.08</f>
        <v>0.193</v>
      </c>
      <c r="H422" s="113">
        <v>2000</v>
      </c>
      <c r="I422" s="114">
        <v>3</v>
      </c>
      <c r="J422" s="233">
        <v>6</v>
      </c>
      <c r="K422" s="115" t="s">
        <v>501</v>
      </c>
    </row>
    <row r="423" spans="2:11" s="116" customFormat="1" ht="12">
      <c r="B423" s="193">
        <v>206505</v>
      </c>
      <c r="C423" s="111" t="s">
        <v>457</v>
      </c>
      <c r="D423" s="112"/>
      <c r="E423" s="112"/>
      <c r="F423" s="106">
        <v>0.222</v>
      </c>
      <c r="G423" s="277">
        <f t="shared" si="38"/>
        <v>0.14200000000000002</v>
      </c>
      <c r="H423" s="113">
        <v>2400</v>
      </c>
      <c r="I423" s="114">
        <v>3</v>
      </c>
      <c r="J423" s="114">
        <v>6</v>
      </c>
      <c r="K423" s="115" t="s">
        <v>501</v>
      </c>
    </row>
    <row r="424" spans="2:11" s="116" customFormat="1" ht="12">
      <c r="B424" s="193">
        <v>206507</v>
      </c>
      <c r="C424" s="111" t="s">
        <v>621</v>
      </c>
      <c r="D424" s="112"/>
      <c r="E424" s="112"/>
      <c r="F424" s="106">
        <v>0.22</v>
      </c>
      <c r="G424" s="277">
        <f t="shared" si="38"/>
        <v>0.14000000000000001</v>
      </c>
      <c r="H424" s="113">
        <v>2400</v>
      </c>
      <c r="I424" s="114">
        <v>3</v>
      </c>
      <c r="J424" s="114" t="s">
        <v>107</v>
      </c>
      <c r="K424" s="115" t="s">
        <v>501</v>
      </c>
    </row>
    <row r="425" spans="2:11" s="6" customFormat="1" ht="12">
      <c r="B425" s="193">
        <v>206508</v>
      </c>
      <c r="C425" s="7" t="s">
        <v>759</v>
      </c>
      <c r="D425" s="67" t="s">
        <v>900</v>
      </c>
      <c r="E425" s="67"/>
      <c r="F425" s="50">
        <v>0.22</v>
      </c>
      <c r="G425" s="277">
        <f t="shared" si="38"/>
        <v>0.14000000000000001</v>
      </c>
      <c r="H425" s="8">
        <v>3200</v>
      </c>
      <c r="I425" s="19">
        <v>14</v>
      </c>
      <c r="J425" s="19"/>
      <c r="K425" s="115" t="s">
        <v>501</v>
      </c>
    </row>
    <row r="426" spans="2:11" s="116" customFormat="1" ht="12">
      <c r="B426" s="193">
        <v>196502</v>
      </c>
      <c r="C426" s="111" t="s">
        <v>380</v>
      </c>
      <c r="D426" s="112"/>
      <c r="E426" s="112" t="s">
        <v>301</v>
      </c>
      <c r="F426" s="106">
        <v>0.21</v>
      </c>
      <c r="G426" s="277">
        <f t="shared" ref="G426:G427" si="39">F426-0.08</f>
        <v>0.13</v>
      </c>
      <c r="H426" s="113">
        <v>2800</v>
      </c>
      <c r="I426" s="114">
        <v>5</v>
      </c>
      <c r="J426" s="114"/>
      <c r="K426" s="115" t="s">
        <v>501</v>
      </c>
    </row>
    <row r="427" spans="2:11" s="116" customFormat="1" ht="12">
      <c r="B427" s="193">
        <v>196505</v>
      </c>
      <c r="C427" s="111" t="s">
        <v>828</v>
      </c>
      <c r="D427" s="112"/>
      <c r="E427" s="112"/>
      <c r="F427" s="106">
        <v>0.33200000000000002</v>
      </c>
      <c r="G427" s="277">
        <f t="shared" si="39"/>
        <v>0.252</v>
      </c>
      <c r="H427" s="113">
        <v>3200</v>
      </c>
      <c r="I427" s="114">
        <v>11</v>
      </c>
      <c r="J427" s="114"/>
      <c r="K427" s="115" t="s">
        <v>501</v>
      </c>
    </row>
    <row r="428" spans="2:11" s="116" customFormat="1" ht="12">
      <c r="B428" s="193">
        <v>196506</v>
      </c>
      <c r="C428" s="111" t="s">
        <v>827</v>
      </c>
      <c r="D428" s="112"/>
      <c r="E428" s="112"/>
      <c r="F428" s="106">
        <v>0.26200000000000001</v>
      </c>
      <c r="G428" s="277">
        <f t="shared" si="38"/>
        <v>0.182</v>
      </c>
      <c r="H428" s="113">
        <v>2000</v>
      </c>
      <c r="I428" s="114">
        <v>11</v>
      </c>
      <c r="J428" s="114"/>
      <c r="K428" s="115" t="s">
        <v>501</v>
      </c>
    </row>
    <row r="429" spans="2:11" s="116" customFormat="1" ht="12">
      <c r="B429" s="193">
        <v>196507</v>
      </c>
      <c r="C429" s="111" t="s">
        <v>390</v>
      </c>
      <c r="D429" s="112"/>
      <c r="E429" s="112"/>
      <c r="F429" s="106">
        <v>0.33</v>
      </c>
      <c r="G429" s="277">
        <f t="shared" si="38"/>
        <v>0.25</v>
      </c>
      <c r="H429" s="113">
        <v>4000</v>
      </c>
      <c r="I429" s="114">
        <v>6</v>
      </c>
      <c r="J429" s="114"/>
      <c r="K429" s="115" t="s">
        <v>501</v>
      </c>
    </row>
    <row r="430" spans="2:11" s="116" customFormat="1" ht="12">
      <c r="B430" s="193">
        <v>196508</v>
      </c>
      <c r="C430" s="111" t="s">
        <v>391</v>
      </c>
      <c r="D430" s="112"/>
      <c r="E430" s="112"/>
      <c r="F430" s="106">
        <v>0.33</v>
      </c>
      <c r="G430" s="277">
        <f t="shared" si="38"/>
        <v>0.25</v>
      </c>
      <c r="H430" s="113">
        <v>4000</v>
      </c>
      <c r="I430" s="114">
        <v>6</v>
      </c>
      <c r="J430" s="114"/>
      <c r="K430" s="115" t="s">
        <v>501</v>
      </c>
    </row>
    <row r="431" spans="2:11" s="116" customFormat="1" ht="12">
      <c r="B431" s="193">
        <v>186501</v>
      </c>
      <c r="C431" s="111" t="s">
        <v>826</v>
      </c>
      <c r="D431" s="112"/>
      <c r="E431" s="112"/>
      <c r="F431" s="106">
        <v>0.214</v>
      </c>
      <c r="G431" s="277">
        <f t="shared" si="38"/>
        <v>0.13400000000000001</v>
      </c>
      <c r="H431" s="113">
        <v>4000</v>
      </c>
      <c r="I431" s="114"/>
      <c r="J431" s="114">
        <v>4</v>
      </c>
      <c r="K431" s="115" t="s">
        <v>501</v>
      </c>
    </row>
    <row r="432" spans="2:11" s="116" customFormat="1" ht="12">
      <c r="B432" s="193">
        <v>186502</v>
      </c>
      <c r="C432" s="111" t="s">
        <v>825</v>
      </c>
      <c r="D432" s="112" t="s">
        <v>369</v>
      </c>
      <c r="E432" s="112" t="s">
        <v>631</v>
      </c>
      <c r="F432" s="106">
        <v>0.24199999999999999</v>
      </c>
      <c r="G432" s="277">
        <f t="shared" ref="G432:G434" si="40">F432-0.08</f>
        <v>0.16199999999999998</v>
      </c>
      <c r="H432" s="113">
        <v>2000</v>
      </c>
      <c r="I432" s="114"/>
      <c r="J432" s="114"/>
      <c r="K432" s="139" t="s">
        <v>502</v>
      </c>
    </row>
    <row r="433" spans="2:11" s="116" customFormat="1" ht="12">
      <c r="B433" s="193">
        <v>186503</v>
      </c>
      <c r="C433" s="111" t="s">
        <v>363</v>
      </c>
      <c r="D433" s="112"/>
      <c r="E433" s="112"/>
      <c r="F433" s="106">
        <v>0.19400000000000001</v>
      </c>
      <c r="G433" s="277">
        <f t="shared" si="40"/>
        <v>0.114</v>
      </c>
      <c r="H433" s="113">
        <v>3200</v>
      </c>
      <c r="I433" s="114">
        <v>6</v>
      </c>
      <c r="J433" s="114">
        <v>6</v>
      </c>
      <c r="K433" s="115" t="s">
        <v>501</v>
      </c>
    </row>
    <row r="434" spans="2:11" s="116" customFormat="1" ht="12">
      <c r="B434" s="193">
        <v>186506</v>
      </c>
      <c r="C434" s="111" t="s">
        <v>824</v>
      </c>
      <c r="D434" s="112"/>
      <c r="E434" s="112"/>
      <c r="F434" s="106">
        <v>0.19900000000000001</v>
      </c>
      <c r="G434" s="277">
        <f t="shared" si="40"/>
        <v>0.11900000000000001</v>
      </c>
      <c r="H434" s="113">
        <v>2400</v>
      </c>
      <c r="I434" s="114"/>
      <c r="J434" s="114">
        <v>4</v>
      </c>
      <c r="K434" s="115" t="s">
        <v>501</v>
      </c>
    </row>
    <row r="435" spans="2:11" s="116" customFormat="1" ht="12">
      <c r="B435" s="193">
        <v>186510</v>
      </c>
      <c r="C435" s="111" t="s">
        <v>823</v>
      </c>
      <c r="D435" s="130" t="s">
        <v>373</v>
      </c>
      <c r="E435" s="112" t="s">
        <v>301</v>
      </c>
      <c r="F435" s="128">
        <v>0.29399999999999998</v>
      </c>
      <c r="G435" s="277">
        <f t="shared" si="38"/>
        <v>0.21399999999999997</v>
      </c>
      <c r="H435" s="113">
        <v>2000</v>
      </c>
      <c r="I435" s="114" t="s">
        <v>107</v>
      </c>
      <c r="J435" s="114"/>
      <c r="K435" s="115" t="s">
        <v>501</v>
      </c>
    </row>
    <row r="436" spans="2:11" s="116" customFormat="1" ht="12">
      <c r="B436" s="193">
        <v>176502</v>
      </c>
      <c r="C436" s="111" t="s">
        <v>822</v>
      </c>
      <c r="D436" s="130"/>
      <c r="E436" s="112" t="s">
        <v>301</v>
      </c>
      <c r="F436" s="106">
        <v>0.188</v>
      </c>
      <c r="G436" s="277">
        <f t="shared" si="38"/>
        <v>0.108</v>
      </c>
      <c r="H436" s="113">
        <v>4000</v>
      </c>
      <c r="I436" s="114">
        <v>8</v>
      </c>
      <c r="J436" s="114">
        <v>5</v>
      </c>
      <c r="K436" s="139" t="s">
        <v>502</v>
      </c>
    </row>
    <row r="437" spans="2:11" s="116" customFormat="1" ht="12">
      <c r="B437" s="193">
        <v>176505</v>
      </c>
      <c r="C437" s="111" t="s">
        <v>821</v>
      </c>
      <c r="D437" s="130"/>
      <c r="E437" s="112" t="s">
        <v>301</v>
      </c>
      <c r="F437" s="106">
        <v>0.26300000000000001</v>
      </c>
      <c r="G437" s="277">
        <f t="shared" ref="G437:G448" si="41">F437-0.08</f>
        <v>0.183</v>
      </c>
      <c r="H437" s="113">
        <v>4000</v>
      </c>
      <c r="I437" s="114">
        <v>12</v>
      </c>
      <c r="J437" s="114">
        <v>4</v>
      </c>
      <c r="K437" s="115" t="s">
        <v>501</v>
      </c>
    </row>
    <row r="438" spans="2:11" s="116" customFormat="1" ht="12">
      <c r="B438" s="193">
        <v>176506</v>
      </c>
      <c r="C438" s="111" t="s">
        <v>820</v>
      </c>
      <c r="D438" s="130"/>
      <c r="E438" s="112"/>
      <c r="F438" s="106">
        <v>0.28399999999999997</v>
      </c>
      <c r="G438" s="277">
        <f t="shared" si="41"/>
        <v>0.20399999999999996</v>
      </c>
      <c r="H438" s="113">
        <v>2000</v>
      </c>
      <c r="I438" s="114">
        <v>4</v>
      </c>
      <c r="J438" s="114">
        <v>4</v>
      </c>
      <c r="K438" s="115" t="s">
        <v>501</v>
      </c>
    </row>
    <row r="439" spans="2:11" s="116" customFormat="1" ht="12">
      <c r="B439" s="193">
        <v>176509</v>
      </c>
      <c r="C439" s="111" t="s">
        <v>349</v>
      </c>
      <c r="D439" s="225" t="s">
        <v>507</v>
      </c>
      <c r="E439" s="112"/>
      <c r="F439" s="106">
        <v>0.32200000000000001</v>
      </c>
      <c r="G439" s="277">
        <f t="shared" si="41"/>
        <v>0.24199999999999999</v>
      </c>
      <c r="H439" s="8">
        <v>2000</v>
      </c>
      <c r="I439" s="19"/>
      <c r="J439" s="19">
        <v>6</v>
      </c>
      <c r="K439" s="139" t="s">
        <v>502</v>
      </c>
    </row>
    <row r="440" spans="2:11" s="116" customFormat="1" ht="12">
      <c r="B440" s="193">
        <v>166503</v>
      </c>
      <c r="C440" s="111" t="s">
        <v>819</v>
      </c>
      <c r="D440" s="130"/>
      <c r="E440" s="112"/>
      <c r="F440" s="106">
        <v>0.19500000000000001</v>
      </c>
      <c r="G440" s="277">
        <f t="shared" si="41"/>
        <v>0.115</v>
      </c>
      <c r="H440" s="113">
        <v>2000</v>
      </c>
      <c r="I440" s="114"/>
      <c r="J440" s="114">
        <v>4</v>
      </c>
      <c r="K440" s="18" t="s">
        <v>501</v>
      </c>
    </row>
    <row r="441" spans="2:11" s="116" customFormat="1" ht="11.4" customHeight="1">
      <c r="B441" s="193">
        <v>156503</v>
      </c>
      <c r="C441" s="111" t="s">
        <v>581</v>
      </c>
      <c r="D441" s="112"/>
      <c r="E441" s="112" t="s">
        <v>301</v>
      </c>
      <c r="F441" s="106">
        <v>0.20300000000000001</v>
      </c>
      <c r="G441" s="277">
        <f t="shared" si="41"/>
        <v>0.12300000000000001</v>
      </c>
      <c r="H441" s="113">
        <v>2000</v>
      </c>
      <c r="I441" s="114">
        <v>20</v>
      </c>
      <c r="J441" s="114"/>
      <c r="K441" s="110" t="s">
        <v>502</v>
      </c>
    </row>
    <row r="442" spans="2:11" s="116" customFormat="1" ht="12">
      <c r="B442" s="193" t="s">
        <v>191</v>
      </c>
      <c r="C442" s="111" t="s">
        <v>818</v>
      </c>
      <c r="D442" s="112" t="s">
        <v>616</v>
      </c>
      <c r="E442" s="112" t="s">
        <v>301</v>
      </c>
      <c r="F442" s="106">
        <v>0.28399999999999997</v>
      </c>
      <c r="G442" s="277">
        <f t="shared" si="41"/>
        <v>0.20399999999999996</v>
      </c>
      <c r="H442" s="113">
        <v>3200</v>
      </c>
      <c r="I442" s="114" t="s">
        <v>107</v>
      </c>
      <c r="J442" s="114"/>
      <c r="K442" s="18" t="s">
        <v>501</v>
      </c>
    </row>
    <row r="443" spans="2:11" s="116" customFormat="1" ht="12">
      <c r="B443" s="193" t="s">
        <v>192</v>
      </c>
      <c r="C443" s="111" t="s">
        <v>817</v>
      </c>
      <c r="D443" s="112"/>
      <c r="E443" s="112"/>
      <c r="F443" s="106">
        <v>0.32500000000000001</v>
      </c>
      <c r="G443" s="277">
        <f t="shared" si="41"/>
        <v>0.245</v>
      </c>
      <c r="H443" s="113">
        <v>2400</v>
      </c>
      <c r="I443" s="114"/>
      <c r="J443" s="114">
        <v>5</v>
      </c>
      <c r="K443" s="18" t="s">
        <v>501</v>
      </c>
    </row>
    <row r="444" spans="2:11" s="116" customFormat="1" ht="12">
      <c r="B444" s="193" t="s">
        <v>193</v>
      </c>
      <c r="C444" s="111" t="s">
        <v>816</v>
      </c>
      <c r="D444" s="112"/>
      <c r="E444" s="112" t="s">
        <v>301</v>
      </c>
      <c r="F444" s="106">
        <v>0.29399999999999998</v>
      </c>
      <c r="G444" s="277">
        <f t="shared" si="41"/>
        <v>0.21399999999999997</v>
      </c>
      <c r="H444" s="113">
        <v>1200</v>
      </c>
      <c r="I444" s="114"/>
      <c r="J444" s="114">
        <v>3</v>
      </c>
      <c r="K444" s="18" t="s">
        <v>501</v>
      </c>
    </row>
    <row r="445" spans="2:11" s="116" customFormat="1" ht="12">
      <c r="B445" s="193" t="s">
        <v>171</v>
      </c>
      <c r="C445" s="111" t="s">
        <v>815</v>
      </c>
      <c r="D445" s="112"/>
      <c r="E445" s="112"/>
      <c r="F445" s="106">
        <v>0.33500000000000002</v>
      </c>
      <c r="G445" s="277">
        <f t="shared" si="41"/>
        <v>0.255</v>
      </c>
      <c r="H445" s="113">
        <v>2000</v>
      </c>
      <c r="I445" s="114">
        <v>5</v>
      </c>
      <c r="J445" s="114"/>
      <c r="K445" s="18" t="s">
        <v>501</v>
      </c>
    </row>
    <row r="446" spans="2:11" s="116" customFormat="1" ht="12">
      <c r="B446" s="193" t="s">
        <v>172</v>
      </c>
      <c r="C446" s="111" t="s">
        <v>814</v>
      </c>
      <c r="D446" s="112"/>
      <c r="E446" s="112" t="s">
        <v>301</v>
      </c>
      <c r="F446" s="128">
        <v>0.22</v>
      </c>
      <c r="G446" s="277"/>
      <c r="H446" s="113">
        <v>2400</v>
      </c>
      <c r="I446" s="114">
        <v>1</v>
      </c>
      <c r="J446" s="114">
        <v>6</v>
      </c>
      <c r="K446" s="143" t="s">
        <v>501</v>
      </c>
    </row>
    <row r="447" spans="2:11" s="116" customFormat="1" ht="12">
      <c r="B447" s="193" t="s">
        <v>173</v>
      </c>
      <c r="C447" s="111" t="s">
        <v>562</v>
      </c>
      <c r="D447" s="112" t="s">
        <v>553</v>
      </c>
      <c r="E447" s="112" t="s">
        <v>301</v>
      </c>
      <c r="F447" s="106">
        <v>0.21199999999999999</v>
      </c>
      <c r="G447" s="277">
        <f t="shared" si="41"/>
        <v>0.13200000000000001</v>
      </c>
      <c r="H447" s="113">
        <v>3600</v>
      </c>
      <c r="I447" s="114">
        <v>5</v>
      </c>
      <c r="J447" s="114"/>
      <c r="K447" s="110" t="s">
        <v>502</v>
      </c>
    </row>
    <row r="448" spans="2:11" s="116" customFormat="1" ht="12.6" thickBot="1">
      <c r="B448" s="274" t="s">
        <v>190</v>
      </c>
      <c r="C448" s="138" t="s">
        <v>348</v>
      </c>
      <c r="D448" s="132" t="s">
        <v>876</v>
      </c>
      <c r="E448" s="132" t="s">
        <v>301</v>
      </c>
      <c r="F448" s="190">
        <v>0.216</v>
      </c>
      <c r="G448" s="278">
        <f t="shared" si="41"/>
        <v>0.13600000000000001</v>
      </c>
      <c r="H448" s="133">
        <v>4000</v>
      </c>
      <c r="I448" s="134"/>
      <c r="J448" s="134">
        <v>5</v>
      </c>
      <c r="K448" s="143" t="s">
        <v>501</v>
      </c>
    </row>
    <row r="449" spans="2:11" s="116" customFormat="1" ht="12">
      <c r="B449" s="204" t="s">
        <v>174</v>
      </c>
      <c r="C449" s="122" t="s">
        <v>811</v>
      </c>
      <c r="D449" s="123"/>
      <c r="E449" s="112" t="s">
        <v>301</v>
      </c>
      <c r="F449" s="124">
        <v>0.29199999999999998</v>
      </c>
      <c r="G449" s="279">
        <f>F449-0.08</f>
        <v>0.21199999999999997</v>
      </c>
      <c r="H449" s="125">
        <v>2000</v>
      </c>
      <c r="I449" s="126">
        <v>6</v>
      </c>
      <c r="J449" s="126"/>
      <c r="K449" s="127" t="s">
        <v>501</v>
      </c>
    </row>
    <row r="450" spans="2:11" s="116" customFormat="1" ht="12">
      <c r="B450" s="193" t="s">
        <v>175</v>
      </c>
      <c r="C450" s="111" t="s">
        <v>812</v>
      </c>
      <c r="D450" s="112"/>
      <c r="E450" s="112" t="s">
        <v>301</v>
      </c>
      <c r="F450" s="106">
        <v>0.24099999999999999</v>
      </c>
      <c r="G450" s="277">
        <f t="shared" ref="G450:G452" si="42">F450-0.08</f>
        <v>0.16099999999999998</v>
      </c>
      <c r="H450" s="113">
        <v>2000</v>
      </c>
      <c r="I450" s="114">
        <v>6</v>
      </c>
      <c r="J450" s="114"/>
      <c r="K450" s="115" t="s">
        <v>501</v>
      </c>
    </row>
    <row r="451" spans="2:11" s="116" customFormat="1" ht="12">
      <c r="B451" s="193" t="s">
        <v>176</v>
      </c>
      <c r="C451" s="111" t="s">
        <v>813</v>
      </c>
      <c r="D451" s="112"/>
      <c r="E451" s="112" t="s">
        <v>301</v>
      </c>
      <c r="F451" s="106">
        <v>0.23100000000000001</v>
      </c>
      <c r="G451" s="277">
        <f t="shared" si="42"/>
        <v>0.15100000000000002</v>
      </c>
      <c r="H451" s="113">
        <v>2000</v>
      </c>
      <c r="I451" s="114" t="s">
        <v>107</v>
      </c>
      <c r="J451" s="114"/>
      <c r="K451" s="115" t="s">
        <v>501</v>
      </c>
    </row>
    <row r="452" spans="2:11" s="116" customFormat="1" ht="12">
      <c r="B452" s="202" t="s">
        <v>228</v>
      </c>
      <c r="C452" s="111" t="s">
        <v>810</v>
      </c>
      <c r="D452" s="112"/>
      <c r="E452" s="112" t="s">
        <v>301</v>
      </c>
      <c r="F452" s="128">
        <v>0.29399999999999998</v>
      </c>
      <c r="G452" s="277">
        <f t="shared" si="42"/>
        <v>0.21399999999999997</v>
      </c>
      <c r="H452" s="113">
        <v>2400</v>
      </c>
      <c r="I452" s="114"/>
      <c r="J452" s="114">
        <v>6</v>
      </c>
      <c r="K452" s="115" t="s">
        <v>501</v>
      </c>
    </row>
    <row r="453" spans="2:11" s="6" customFormat="1" ht="12">
      <c r="B453" s="192" t="s">
        <v>177</v>
      </c>
      <c r="C453" s="7" t="s">
        <v>965</v>
      </c>
      <c r="D453" s="68"/>
      <c r="E453" s="95"/>
      <c r="F453" s="84">
        <v>0.23100000000000001</v>
      </c>
      <c r="G453" s="277"/>
      <c r="H453" s="8">
        <v>3600</v>
      </c>
      <c r="I453" s="19">
        <v>4</v>
      </c>
      <c r="J453" s="19"/>
      <c r="K453" s="115" t="s">
        <v>501</v>
      </c>
    </row>
    <row r="454" spans="2:11" s="6" customFormat="1" ht="12">
      <c r="B454" s="192" t="s">
        <v>178</v>
      </c>
      <c r="C454" s="7" t="s">
        <v>480</v>
      </c>
      <c r="D454" s="68" t="s">
        <v>275</v>
      </c>
      <c r="E454" s="67" t="s">
        <v>301</v>
      </c>
      <c r="F454" s="59" t="s">
        <v>337</v>
      </c>
      <c r="G454" s="50">
        <v>0.22900000000000001</v>
      </c>
      <c r="H454" s="8">
        <v>6000</v>
      </c>
      <c r="I454" s="19">
        <v>1</v>
      </c>
      <c r="J454" s="19"/>
      <c r="K454" s="139" t="s">
        <v>180</v>
      </c>
    </row>
    <row r="455" spans="2:11" s="6" customFormat="1" ht="12">
      <c r="B455" s="192" t="s">
        <v>179</v>
      </c>
      <c r="C455" s="199" t="s">
        <v>842</v>
      </c>
      <c r="D455" s="68" t="s">
        <v>275</v>
      </c>
      <c r="E455" s="67" t="s">
        <v>301</v>
      </c>
      <c r="F455" s="59" t="s">
        <v>337</v>
      </c>
      <c r="G455" s="50">
        <v>0.317</v>
      </c>
      <c r="H455" s="8">
        <v>2880</v>
      </c>
      <c r="I455" s="19" t="s">
        <v>107</v>
      </c>
      <c r="J455" s="19" t="s">
        <v>107</v>
      </c>
      <c r="K455" s="139" t="s">
        <v>180</v>
      </c>
    </row>
    <row r="456" spans="2:11" s="6" customFormat="1" ht="12">
      <c r="B456" s="192" t="s">
        <v>312</v>
      </c>
      <c r="C456" s="7" t="s">
        <v>808</v>
      </c>
      <c r="D456" s="112"/>
      <c r="E456" s="112" t="s">
        <v>301</v>
      </c>
      <c r="F456" s="128">
        <v>0.23100000000000001</v>
      </c>
      <c r="G456" s="106">
        <f t="shared" ref="G456" si="43">F456-0.08</f>
        <v>0.15100000000000002</v>
      </c>
      <c r="H456" s="113">
        <v>3600</v>
      </c>
      <c r="I456" s="114">
        <v>12</v>
      </c>
      <c r="J456" s="114"/>
      <c r="K456" s="115" t="s">
        <v>501</v>
      </c>
    </row>
    <row r="457" spans="2:11" s="6" customFormat="1" ht="12">
      <c r="B457" s="192" t="s">
        <v>477</v>
      </c>
      <c r="C457" s="191" t="s">
        <v>807</v>
      </c>
      <c r="D457" s="112"/>
      <c r="E457" s="112"/>
      <c r="F457" s="128">
        <v>0.34699999999999998</v>
      </c>
      <c r="G457" s="106">
        <f>F457-0.08</f>
        <v>0.26699999999999996</v>
      </c>
      <c r="H457" s="113">
        <v>1200</v>
      </c>
      <c r="I457" s="114"/>
      <c r="J457" s="114"/>
      <c r="K457" s="115" t="s">
        <v>501</v>
      </c>
    </row>
    <row r="458" spans="2:11" s="6" customFormat="1" ht="12">
      <c r="B458" s="192" t="s">
        <v>693</v>
      </c>
      <c r="C458" s="191" t="s">
        <v>809</v>
      </c>
      <c r="D458" s="112"/>
      <c r="E458" s="112"/>
      <c r="F458" s="128">
        <v>0.30499999999999999</v>
      </c>
      <c r="G458" s="106">
        <f>F458-0.08</f>
        <v>0.22499999999999998</v>
      </c>
      <c r="H458" s="113">
        <v>2000</v>
      </c>
      <c r="I458" s="114"/>
      <c r="J458" s="114"/>
      <c r="K458" s="115" t="s">
        <v>501</v>
      </c>
    </row>
    <row r="459" spans="2:11" s="6" customFormat="1" ht="12">
      <c r="B459" s="16"/>
      <c r="C459" s="107"/>
      <c r="D459" s="68"/>
      <c r="E459" s="67"/>
      <c r="F459" s="59"/>
      <c r="G459" s="50"/>
      <c r="H459" s="8"/>
      <c r="I459" s="19"/>
      <c r="J459" s="19"/>
      <c r="K459" s="115"/>
    </row>
    <row r="460" spans="2:11" s="6" customFormat="1">
      <c r="B460" s="326" t="s">
        <v>1260</v>
      </c>
      <c r="C460" s="335"/>
      <c r="D460" s="335"/>
      <c r="E460" s="335"/>
      <c r="F460" s="335"/>
      <c r="G460" s="335"/>
      <c r="H460" s="335"/>
      <c r="I460" s="335"/>
      <c r="J460" s="335"/>
      <c r="K460" s="336"/>
    </row>
    <row r="461" spans="2:11" s="6" customFormat="1" ht="12.6" thickBot="1">
      <c r="B461" s="96"/>
      <c r="C461" s="24"/>
      <c r="D461" s="97"/>
      <c r="E461" s="97"/>
      <c r="F461" s="142"/>
      <c r="G461" s="142"/>
      <c r="H461" s="24"/>
      <c r="I461" s="24"/>
      <c r="J461" s="24"/>
      <c r="K461" s="98"/>
    </row>
    <row r="462" spans="2:11" s="71" customFormat="1" ht="13.5" customHeight="1">
      <c r="B462" s="164" t="s">
        <v>1290</v>
      </c>
      <c r="C462" s="72"/>
      <c r="D462" s="73"/>
      <c r="E462" s="73"/>
      <c r="F462" s="74"/>
      <c r="G462" s="74"/>
      <c r="H462" s="72"/>
      <c r="I462" s="72"/>
      <c r="J462" s="72"/>
      <c r="K462" s="75"/>
    </row>
    <row r="463" spans="2:11" s="6" customFormat="1" ht="12.6" thickBot="1">
      <c r="B463" s="170" t="s">
        <v>200</v>
      </c>
      <c r="C463" s="171" t="s">
        <v>201</v>
      </c>
      <c r="D463" s="172" t="s">
        <v>202</v>
      </c>
      <c r="E463" s="172" t="s">
        <v>302</v>
      </c>
      <c r="F463" s="331" t="s">
        <v>203</v>
      </c>
      <c r="G463" s="332"/>
      <c r="H463" s="235" t="s">
        <v>204</v>
      </c>
      <c r="I463" s="337" t="s">
        <v>205</v>
      </c>
      <c r="J463" s="338"/>
      <c r="K463" s="155" t="s">
        <v>375</v>
      </c>
    </row>
    <row r="464" spans="2:11">
      <c r="B464" s="156"/>
      <c r="C464" s="157"/>
      <c r="D464" s="158"/>
      <c r="E464" s="158"/>
      <c r="F464" s="159" t="s">
        <v>361</v>
      </c>
      <c r="G464" s="160" t="s">
        <v>81</v>
      </c>
      <c r="H464" s="161" t="s">
        <v>2</v>
      </c>
      <c r="I464" s="236" t="s">
        <v>0</v>
      </c>
      <c r="J464" s="236" t="s">
        <v>1</v>
      </c>
      <c r="K464" s="237"/>
    </row>
    <row r="465" spans="2:11" s="6" customFormat="1" ht="12">
      <c r="B465" s="260" t="s">
        <v>1295</v>
      </c>
      <c r="C465" s="252" t="s">
        <v>1297</v>
      </c>
      <c r="D465" s="253"/>
      <c r="E465" s="253"/>
      <c r="F465" s="254">
        <v>0.25</v>
      </c>
      <c r="G465" s="254"/>
      <c r="H465" s="264">
        <v>20000</v>
      </c>
      <c r="I465" s="256" t="s">
        <v>1296</v>
      </c>
      <c r="J465" s="256"/>
      <c r="K465" s="18" t="s">
        <v>376</v>
      </c>
    </row>
    <row r="466" spans="2:11" s="6" customFormat="1" ht="12">
      <c r="B466" s="192">
        <v>229001</v>
      </c>
      <c r="C466" s="7" t="s">
        <v>567</v>
      </c>
      <c r="D466" s="67"/>
      <c r="E466" s="67"/>
      <c r="F466" s="50">
        <v>0.254</v>
      </c>
      <c r="G466" s="50"/>
      <c r="H466" s="8">
        <v>2000</v>
      </c>
      <c r="I466" s="19">
        <v>4</v>
      </c>
      <c r="J466" s="19"/>
      <c r="K466" s="18" t="s">
        <v>376</v>
      </c>
    </row>
    <row r="467" spans="2:11" s="6" customFormat="1" ht="12">
      <c r="B467" s="192">
        <v>229002</v>
      </c>
      <c r="C467" s="7" t="s">
        <v>599</v>
      </c>
      <c r="D467" s="67"/>
      <c r="E467" s="67"/>
      <c r="F467" s="50">
        <v>0.23300000000000001</v>
      </c>
      <c r="G467" s="50">
        <f>F467-0.18</f>
        <v>5.3000000000000019E-2</v>
      </c>
      <c r="H467" s="8">
        <v>2000</v>
      </c>
      <c r="I467" s="19">
        <v>10</v>
      </c>
      <c r="J467" s="19"/>
      <c r="K467" s="18" t="s">
        <v>376</v>
      </c>
    </row>
    <row r="468" spans="2:11" s="6" customFormat="1" ht="12">
      <c r="B468" s="192">
        <v>229003</v>
      </c>
      <c r="C468" s="7" t="s">
        <v>629</v>
      </c>
      <c r="D468" s="67"/>
      <c r="E468" s="67"/>
      <c r="F468" s="50">
        <v>0.21199999999999999</v>
      </c>
      <c r="G468" s="50">
        <f t="shared" ref="G468:G469" si="44">F468-0.18</f>
        <v>3.2000000000000001E-2</v>
      </c>
      <c r="H468" s="8">
        <v>5000</v>
      </c>
      <c r="I468" s="19" t="s">
        <v>107</v>
      </c>
      <c r="J468" s="19"/>
      <c r="K468" s="18" t="s">
        <v>376</v>
      </c>
    </row>
    <row r="469" spans="2:11" s="6" customFormat="1" ht="12">
      <c r="B469" s="192">
        <v>229004</v>
      </c>
      <c r="C469" s="7" t="s">
        <v>806</v>
      </c>
      <c r="D469" s="67"/>
      <c r="E469" s="67"/>
      <c r="F469" s="50">
        <v>0.23300000000000001</v>
      </c>
      <c r="G469" s="50">
        <f t="shared" si="44"/>
        <v>5.3000000000000019E-2</v>
      </c>
      <c r="H469" s="8">
        <v>5000</v>
      </c>
      <c r="I469" s="19"/>
      <c r="J469" s="19">
        <v>4</v>
      </c>
      <c r="K469" s="18" t="s">
        <v>376</v>
      </c>
    </row>
    <row r="470" spans="2:11" s="6" customFormat="1" ht="12">
      <c r="B470" s="192">
        <v>219001</v>
      </c>
      <c r="C470" s="7" t="s">
        <v>469</v>
      </c>
      <c r="D470" s="67"/>
      <c r="E470" s="67" t="s">
        <v>301</v>
      </c>
      <c r="F470" s="50">
        <v>0.28599999999999998</v>
      </c>
      <c r="G470" s="50"/>
      <c r="H470" s="8">
        <v>1000</v>
      </c>
      <c r="I470" s="19"/>
      <c r="J470" s="19">
        <v>4</v>
      </c>
      <c r="K470" s="18" t="s">
        <v>376</v>
      </c>
    </row>
    <row r="471" spans="2:11" s="6" customFormat="1" ht="12">
      <c r="B471" s="192">
        <v>219002</v>
      </c>
      <c r="C471" s="7" t="s">
        <v>245</v>
      </c>
      <c r="D471" s="67"/>
      <c r="E471" s="67"/>
      <c r="F471" s="50">
        <v>0.29599999999999999</v>
      </c>
      <c r="G471" s="50"/>
      <c r="H471" s="8">
        <v>2400</v>
      </c>
      <c r="I471" s="19"/>
      <c r="J471" s="19">
        <v>4</v>
      </c>
      <c r="K471" s="18" t="s">
        <v>376</v>
      </c>
    </row>
    <row r="472" spans="2:11" s="6" customFormat="1" ht="12">
      <c r="B472" s="192">
        <v>219003</v>
      </c>
      <c r="C472" s="7" t="s">
        <v>805</v>
      </c>
      <c r="D472" s="67"/>
      <c r="E472" s="67"/>
      <c r="F472" s="50">
        <v>0.30199999999999999</v>
      </c>
      <c r="G472" s="50">
        <f t="shared" ref="G472" si="45">F472-0.18</f>
        <v>0.122</v>
      </c>
      <c r="H472" s="8">
        <v>1600</v>
      </c>
      <c r="I472" s="19">
        <v>4</v>
      </c>
      <c r="J472" s="19"/>
      <c r="K472" s="18" t="s">
        <v>376</v>
      </c>
    </row>
    <row r="473" spans="2:11" s="6" customFormat="1" ht="12">
      <c r="B473" s="192">
        <v>219005</v>
      </c>
      <c r="C473" s="7" t="s">
        <v>470</v>
      </c>
      <c r="D473" s="67"/>
      <c r="E473" s="67"/>
      <c r="F473" s="50">
        <v>0.29599999999999999</v>
      </c>
      <c r="G473" s="50"/>
      <c r="H473" s="8">
        <v>1200</v>
      </c>
      <c r="I473" s="19">
        <v>4</v>
      </c>
      <c r="J473" s="19"/>
      <c r="K473" s="18" t="s">
        <v>376</v>
      </c>
    </row>
    <row r="474" spans="2:11" s="6" customFormat="1" ht="12">
      <c r="B474" s="192">
        <v>209001</v>
      </c>
      <c r="C474" s="7" t="s">
        <v>804</v>
      </c>
      <c r="D474" s="67"/>
      <c r="E474" s="67"/>
      <c r="F474" s="50">
        <v>0.29799999999999999</v>
      </c>
      <c r="G474" s="50">
        <f>F474-0.18</f>
        <v>0.11799999999999999</v>
      </c>
      <c r="H474" s="8">
        <v>1000</v>
      </c>
      <c r="I474" s="19">
        <v>5</v>
      </c>
      <c r="J474" s="19">
        <v>7</v>
      </c>
      <c r="K474" s="18" t="s">
        <v>376</v>
      </c>
    </row>
    <row r="475" spans="2:11" s="6" customFormat="1" ht="12">
      <c r="B475" s="192">
        <v>209004</v>
      </c>
      <c r="C475" s="7" t="s">
        <v>458</v>
      </c>
      <c r="D475" s="67"/>
      <c r="E475" s="67"/>
      <c r="F475" s="50">
        <v>0.28299999999999997</v>
      </c>
      <c r="G475" s="50"/>
      <c r="H475" s="8">
        <v>2000</v>
      </c>
      <c r="I475" s="19">
        <v>4</v>
      </c>
      <c r="J475" s="19"/>
      <c r="K475" s="18" t="s">
        <v>376</v>
      </c>
    </row>
    <row r="476" spans="2:11" s="6" customFormat="1" ht="12">
      <c r="B476" s="192">
        <v>199001</v>
      </c>
      <c r="C476" s="7" t="s">
        <v>432</v>
      </c>
      <c r="D476" s="67"/>
      <c r="E476" s="67"/>
      <c r="F476" s="50">
        <v>0.3</v>
      </c>
      <c r="G476" s="50">
        <f>F476-0.18</f>
        <v>0.12</v>
      </c>
      <c r="H476" s="8">
        <v>1000</v>
      </c>
      <c r="I476" s="19"/>
      <c r="J476" s="19">
        <v>3</v>
      </c>
      <c r="K476" s="18" t="s">
        <v>376</v>
      </c>
    </row>
    <row r="477" spans="2:11" s="6" customFormat="1" ht="12">
      <c r="B477" s="192">
        <v>199002</v>
      </c>
      <c r="C477" s="7" t="s">
        <v>630</v>
      </c>
      <c r="D477" s="67"/>
      <c r="E477" s="67"/>
      <c r="F477" s="50">
        <v>0.24299999999999999</v>
      </c>
      <c r="G477" s="50">
        <f t="shared" ref="G477:G479" si="46">F477-0.18</f>
        <v>6.3E-2</v>
      </c>
      <c r="H477" s="8">
        <v>3000</v>
      </c>
      <c r="I477" s="19"/>
      <c r="J477" s="19">
        <v>4</v>
      </c>
      <c r="K477" s="18" t="s">
        <v>376</v>
      </c>
    </row>
    <row r="478" spans="2:11" s="6" customFormat="1" ht="12">
      <c r="B478" s="192">
        <v>199004</v>
      </c>
      <c r="C478" s="7" t="s">
        <v>433</v>
      </c>
      <c r="D478" s="67"/>
      <c r="E478" s="67"/>
      <c r="F478" s="50">
        <v>0.26900000000000002</v>
      </c>
      <c r="G478" s="50">
        <f>F478-0.18</f>
        <v>8.9000000000000024E-2</v>
      </c>
      <c r="H478" s="8">
        <v>1000</v>
      </c>
      <c r="I478" s="19"/>
      <c r="J478" s="19">
        <v>5</v>
      </c>
      <c r="K478" s="18" t="s">
        <v>376</v>
      </c>
    </row>
    <row r="479" spans="2:11" s="6" customFormat="1" ht="12">
      <c r="B479" s="192">
        <v>199005</v>
      </c>
      <c r="C479" s="7" t="s">
        <v>581</v>
      </c>
      <c r="D479" s="67"/>
      <c r="E479" s="67" t="s">
        <v>301</v>
      </c>
      <c r="F479" s="50">
        <v>0.29399999999999998</v>
      </c>
      <c r="G479" s="50">
        <f t="shared" si="46"/>
        <v>0.11399999999999999</v>
      </c>
      <c r="H479" s="8">
        <v>3000</v>
      </c>
      <c r="I479" s="19" t="s">
        <v>107</v>
      </c>
      <c r="J479" s="19"/>
      <c r="K479" s="18" t="s">
        <v>376</v>
      </c>
    </row>
    <row r="480" spans="2:11" s="6" customFormat="1" ht="12">
      <c r="B480" s="192">
        <v>189006</v>
      </c>
      <c r="C480" s="7" t="s">
        <v>364</v>
      </c>
      <c r="D480" s="67"/>
      <c r="E480" s="67"/>
      <c r="F480" s="50">
        <v>0.28599999999999998</v>
      </c>
      <c r="G480" s="50"/>
      <c r="H480" s="8">
        <v>1800</v>
      </c>
      <c r="I480" s="19"/>
      <c r="J480" s="19">
        <v>4</v>
      </c>
      <c r="K480" s="18" t="s">
        <v>376</v>
      </c>
    </row>
    <row r="481" spans="2:11" s="6" customFormat="1" ht="12">
      <c r="B481" s="192">
        <v>189011</v>
      </c>
      <c r="C481" s="7" t="s">
        <v>473</v>
      </c>
      <c r="D481" s="67"/>
      <c r="E481" s="67" t="s">
        <v>301</v>
      </c>
      <c r="F481" s="50">
        <v>0.28599999999999998</v>
      </c>
      <c r="G481" s="50">
        <f t="shared" ref="G481:G487" si="47">F481-0.18</f>
        <v>0.10599999999999998</v>
      </c>
      <c r="H481" s="8">
        <v>1200</v>
      </c>
      <c r="I481" s="19">
        <v>6</v>
      </c>
      <c r="J481" s="19">
        <v>4</v>
      </c>
      <c r="K481" s="18" t="s">
        <v>376</v>
      </c>
    </row>
    <row r="482" spans="2:11" s="6" customFormat="1" ht="12">
      <c r="B482" s="192">
        <v>189013</v>
      </c>
      <c r="C482" s="7" t="s">
        <v>803</v>
      </c>
      <c r="D482" s="67"/>
      <c r="E482" s="67" t="s">
        <v>301</v>
      </c>
      <c r="F482" s="50">
        <v>0.37</v>
      </c>
      <c r="G482" s="50"/>
      <c r="H482" s="8">
        <v>2400</v>
      </c>
      <c r="I482" s="19"/>
      <c r="J482" s="19">
        <v>6</v>
      </c>
      <c r="K482" s="18" t="s">
        <v>376</v>
      </c>
    </row>
    <row r="483" spans="2:11" s="6" customFormat="1" ht="12">
      <c r="B483" s="192">
        <v>179003</v>
      </c>
      <c r="C483" s="7" t="s">
        <v>365</v>
      </c>
      <c r="D483" s="67"/>
      <c r="E483" s="67"/>
      <c r="F483" s="50">
        <v>0.36699999999999999</v>
      </c>
      <c r="G483" s="50">
        <f t="shared" ref="G483" si="48">F483-0.18</f>
        <v>0.187</v>
      </c>
      <c r="H483" s="8">
        <v>3000</v>
      </c>
      <c r="I483" s="19">
        <v>6</v>
      </c>
      <c r="J483" s="19"/>
      <c r="K483" s="18" t="s">
        <v>376</v>
      </c>
    </row>
    <row r="484" spans="2:11" s="6" customFormat="1" ht="12">
      <c r="B484" s="192" t="s">
        <v>186</v>
      </c>
      <c r="C484" s="7" t="s">
        <v>802</v>
      </c>
      <c r="D484" s="67"/>
      <c r="E484" s="67" t="s">
        <v>631</v>
      </c>
      <c r="F484" s="50">
        <v>0.33900000000000002</v>
      </c>
      <c r="G484" s="50"/>
      <c r="H484" s="8">
        <v>1800</v>
      </c>
      <c r="I484" s="19"/>
      <c r="J484" s="19"/>
      <c r="K484" s="18" t="s">
        <v>376</v>
      </c>
    </row>
    <row r="485" spans="2:11" s="6" customFormat="1" ht="12">
      <c r="B485" s="192" t="s">
        <v>181</v>
      </c>
      <c r="C485" s="7" t="s">
        <v>801</v>
      </c>
      <c r="D485" s="67" t="s">
        <v>837</v>
      </c>
      <c r="E485" s="67" t="s">
        <v>301</v>
      </c>
      <c r="F485" s="50">
        <v>0.34899999999999998</v>
      </c>
      <c r="G485" s="50">
        <f t="shared" si="47"/>
        <v>0.16899999999999998</v>
      </c>
      <c r="H485" s="8">
        <v>1200</v>
      </c>
      <c r="I485" s="19"/>
      <c r="J485" s="19">
        <v>4</v>
      </c>
      <c r="K485" s="18" t="s">
        <v>376</v>
      </c>
    </row>
    <row r="486" spans="2:11" s="6" customFormat="1" ht="12">
      <c r="B486" s="192" t="s">
        <v>224</v>
      </c>
      <c r="C486" s="7" t="s">
        <v>800</v>
      </c>
      <c r="D486" s="67"/>
      <c r="E486" s="67" t="s">
        <v>301</v>
      </c>
      <c r="F486" s="50">
        <v>0.42199999999999999</v>
      </c>
      <c r="G486" s="50"/>
      <c r="H486" s="8">
        <v>1000</v>
      </c>
      <c r="I486" s="19" t="s">
        <v>107</v>
      </c>
      <c r="J486" s="19"/>
      <c r="K486" s="18" t="s">
        <v>376</v>
      </c>
    </row>
    <row r="487" spans="2:11" s="6" customFormat="1" ht="12">
      <c r="B487" s="192" t="s">
        <v>182</v>
      </c>
      <c r="C487" s="7" t="s">
        <v>563</v>
      </c>
      <c r="D487" s="67" t="s">
        <v>471</v>
      </c>
      <c r="E487" s="67" t="s">
        <v>301</v>
      </c>
      <c r="F487" s="50">
        <v>0.33900000000000002</v>
      </c>
      <c r="G487" s="50">
        <f t="shared" si="47"/>
        <v>0.15900000000000003</v>
      </c>
      <c r="H487" s="8">
        <v>2000</v>
      </c>
      <c r="I487" s="19">
        <v>4</v>
      </c>
      <c r="J487" s="19"/>
      <c r="K487" s="18" t="s">
        <v>376</v>
      </c>
    </row>
    <row r="488" spans="2:11" s="6" customFormat="1" ht="12">
      <c r="B488" s="192" t="s">
        <v>183</v>
      </c>
      <c r="C488" s="7" t="s">
        <v>624</v>
      </c>
      <c r="D488" s="67"/>
      <c r="E488" s="67"/>
      <c r="F488" s="50">
        <v>0.307</v>
      </c>
      <c r="G488" s="50"/>
      <c r="H488" s="8">
        <v>2400</v>
      </c>
      <c r="I488" s="19">
        <v>2</v>
      </c>
      <c r="J488" s="19">
        <v>8</v>
      </c>
      <c r="K488" s="18" t="s">
        <v>376</v>
      </c>
    </row>
    <row r="489" spans="2:11" s="6" customFormat="1" ht="12">
      <c r="B489" s="192" t="s">
        <v>185</v>
      </c>
      <c r="C489" s="7" t="s">
        <v>799</v>
      </c>
      <c r="D489" s="67" t="s">
        <v>798</v>
      </c>
      <c r="E489" s="67" t="s">
        <v>301</v>
      </c>
      <c r="F489" s="50">
        <v>0.317</v>
      </c>
      <c r="G489" s="50"/>
      <c r="H489" s="8">
        <v>2400</v>
      </c>
      <c r="I489" s="19"/>
      <c r="J489" s="19" t="s">
        <v>107</v>
      </c>
      <c r="K489" s="18" t="s">
        <v>376</v>
      </c>
    </row>
    <row r="490" spans="2:11" s="6" customFormat="1" ht="12">
      <c r="B490" s="192" t="s">
        <v>339</v>
      </c>
      <c r="C490" s="7" t="s">
        <v>797</v>
      </c>
      <c r="D490" s="67"/>
      <c r="E490" s="68"/>
      <c r="F490" s="84">
        <v>0.375</v>
      </c>
      <c r="G490" s="50"/>
      <c r="H490" s="8">
        <v>3000</v>
      </c>
      <c r="I490" s="19">
        <v>12</v>
      </c>
      <c r="J490" s="19"/>
      <c r="K490" s="182" t="s">
        <v>376</v>
      </c>
    </row>
    <row r="491" spans="2:11" s="6" customFormat="1" ht="12">
      <c r="B491" s="16"/>
      <c r="C491" s="7"/>
      <c r="D491" s="68"/>
      <c r="E491" s="68"/>
      <c r="F491" s="59"/>
      <c r="G491" s="50"/>
      <c r="H491" s="8"/>
      <c r="I491" s="19"/>
      <c r="J491" s="19"/>
      <c r="K491" s="139"/>
    </row>
    <row r="492" spans="2:11" s="6" customFormat="1">
      <c r="B492" s="326" t="s">
        <v>641</v>
      </c>
      <c r="C492" s="335"/>
      <c r="D492" s="335"/>
      <c r="E492" s="335"/>
      <c r="F492" s="335"/>
      <c r="G492" s="335"/>
      <c r="H492" s="335"/>
      <c r="I492" s="335"/>
      <c r="J492" s="335"/>
      <c r="K492" s="336"/>
    </row>
    <row r="493" spans="2:11" s="6" customFormat="1" ht="12.6" thickBot="1">
      <c r="B493" s="96"/>
      <c r="C493" s="24"/>
      <c r="D493" s="97"/>
      <c r="E493" s="97"/>
      <c r="F493" s="24"/>
      <c r="G493" s="24"/>
      <c r="H493" s="24"/>
      <c r="I493" s="24"/>
      <c r="J493" s="24"/>
      <c r="K493" s="98"/>
    </row>
    <row r="494" spans="2:11" s="6" customFormat="1">
      <c r="B494" s="165" t="s">
        <v>327</v>
      </c>
      <c r="C494" s="11"/>
      <c r="D494" s="66"/>
      <c r="E494" s="66"/>
      <c r="F494" s="11"/>
      <c r="G494" s="11"/>
      <c r="H494" s="11"/>
      <c r="I494" s="11"/>
      <c r="J494" s="11"/>
      <c r="K494" s="12"/>
    </row>
    <row r="495" spans="2:11" s="6" customFormat="1" ht="12.6" thickBot="1">
      <c r="B495" s="174" t="s">
        <v>200</v>
      </c>
      <c r="C495" s="175" t="s">
        <v>201</v>
      </c>
      <c r="D495" s="176" t="s">
        <v>202</v>
      </c>
      <c r="E495" s="176"/>
      <c r="F495" s="334" t="s">
        <v>203</v>
      </c>
      <c r="G495" s="334"/>
      <c r="H495" s="185" t="s">
        <v>204</v>
      </c>
      <c r="I495" s="337" t="s">
        <v>209</v>
      </c>
      <c r="J495" s="338"/>
      <c r="K495" s="155" t="s">
        <v>210</v>
      </c>
    </row>
    <row r="496" spans="2:11" s="6" customFormat="1" ht="12">
      <c r="B496" s="149"/>
      <c r="C496" s="150"/>
      <c r="D496" s="151"/>
      <c r="E496" s="151"/>
      <c r="F496" s="339" t="s">
        <v>211</v>
      </c>
      <c r="G496" s="339"/>
      <c r="H496" s="152" t="s">
        <v>206</v>
      </c>
      <c r="I496" s="186" t="s">
        <v>212</v>
      </c>
      <c r="J496" s="186" t="s">
        <v>213</v>
      </c>
      <c r="K496" s="187"/>
    </row>
    <row r="497" spans="2:11" s="31" customFormat="1" ht="13.5" customHeight="1">
      <c r="B497" s="192" t="s">
        <v>218</v>
      </c>
      <c r="C497" s="108" t="s">
        <v>464</v>
      </c>
      <c r="D497" s="179" t="s">
        <v>332</v>
      </c>
      <c r="E497" s="88"/>
      <c r="F497" s="329">
        <v>1.7999999999999999E-2</v>
      </c>
      <c r="G497" s="330"/>
      <c r="H497" s="33">
        <v>200000</v>
      </c>
      <c r="I497" s="76" t="s">
        <v>522</v>
      </c>
      <c r="J497" s="76" t="s">
        <v>493</v>
      </c>
      <c r="K497" s="29" t="s">
        <v>494</v>
      </c>
    </row>
    <row r="498" spans="2:11" s="31" customFormat="1" ht="12">
      <c r="B498" s="180" t="s">
        <v>514</v>
      </c>
      <c r="C498" s="108" t="s">
        <v>969</v>
      </c>
      <c r="D498" s="179" t="s">
        <v>332</v>
      </c>
      <c r="E498" s="87"/>
      <c r="F498" s="329">
        <v>1.4999999999999999E-2</v>
      </c>
      <c r="G498" s="330"/>
      <c r="H498" s="33">
        <v>300000</v>
      </c>
      <c r="I498" s="76" t="s">
        <v>516</v>
      </c>
      <c r="J498" s="208" t="s">
        <v>460</v>
      </c>
      <c r="K498" s="29" t="s">
        <v>515</v>
      </c>
    </row>
    <row r="499" spans="2:11" s="31" customFormat="1" ht="12">
      <c r="B499" s="180" t="s">
        <v>217</v>
      </c>
      <c r="C499" s="108" t="s">
        <v>382</v>
      </c>
      <c r="D499" s="179" t="s">
        <v>332</v>
      </c>
      <c r="E499" s="87"/>
      <c r="F499" s="329">
        <v>1.7999999999999999E-2</v>
      </c>
      <c r="G499" s="330"/>
      <c r="H499" s="33">
        <v>200000</v>
      </c>
      <c r="I499" s="76" t="s">
        <v>517</v>
      </c>
      <c r="J499" s="208" t="s">
        <v>460</v>
      </c>
      <c r="K499" s="29" t="s">
        <v>525</v>
      </c>
    </row>
    <row r="500" spans="2:11" s="31" customFormat="1" ht="12">
      <c r="B500" s="180" t="s">
        <v>88</v>
      </c>
      <c r="C500" s="108" t="s">
        <v>381</v>
      </c>
      <c r="D500" s="179" t="s">
        <v>332</v>
      </c>
      <c r="E500" s="88"/>
      <c r="F500" s="329">
        <v>3.2000000000000001E-2</v>
      </c>
      <c r="G500" s="330"/>
      <c r="H500" s="181">
        <v>100100</v>
      </c>
      <c r="I500" s="76" t="s">
        <v>462</v>
      </c>
      <c r="J500" s="208" t="s">
        <v>460</v>
      </c>
      <c r="K500" s="29" t="s">
        <v>463</v>
      </c>
    </row>
    <row r="501" spans="2:11" s="31" customFormat="1" ht="12">
      <c r="B501" s="180" t="s">
        <v>518</v>
      </c>
      <c r="C501" s="108" t="s">
        <v>519</v>
      </c>
      <c r="D501" s="179" t="s">
        <v>332</v>
      </c>
      <c r="E501" s="88"/>
      <c r="F501" s="329">
        <v>3.2000000000000001E-2</v>
      </c>
      <c r="G501" s="330"/>
      <c r="H501" s="33">
        <v>100800</v>
      </c>
      <c r="I501" s="76" t="s">
        <v>523</v>
      </c>
      <c r="J501" s="208" t="s">
        <v>460</v>
      </c>
      <c r="K501" s="29" t="s">
        <v>333</v>
      </c>
    </row>
    <row r="502" spans="2:11" s="31" customFormat="1" ht="12">
      <c r="B502" s="180" t="s">
        <v>597</v>
      </c>
      <c r="C502" s="108" t="s">
        <v>638</v>
      </c>
      <c r="D502" s="179" t="s">
        <v>332</v>
      </c>
      <c r="E502" s="88"/>
      <c r="F502" s="329">
        <v>3.2000000000000001E-2</v>
      </c>
      <c r="G502" s="330"/>
      <c r="H502" s="33">
        <v>106250</v>
      </c>
      <c r="I502" s="76" t="s">
        <v>639</v>
      </c>
      <c r="J502" s="208" t="s">
        <v>460</v>
      </c>
      <c r="K502" s="29" t="s">
        <v>640</v>
      </c>
    </row>
    <row r="503" spans="2:11" s="31" customFormat="1" ht="12">
      <c r="B503" s="180" t="s">
        <v>520</v>
      </c>
      <c r="C503" s="108" t="s">
        <v>521</v>
      </c>
      <c r="D503" s="179" t="s">
        <v>332</v>
      </c>
      <c r="E503" s="88"/>
      <c r="F503" s="329">
        <v>3.2000000000000001E-2</v>
      </c>
      <c r="G503" s="330"/>
      <c r="H503" s="33">
        <v>100776</v>
      </c>
      <c r="I503" s="76" t="s">
        <v>524</v>
      </c>
      <c r="J503" s="208" t="s">
        <v>460</v>
      </c>
      <c r="K503" s="29" t="s">
        <v>526</v>
      </c>
    </row>
    <row r="504" spans="2:11" s="31" customFormat="1" ht="12">
      <c r="B504" s="180" t="s">
        <v>489</v>
      </c>
      <c r="C504" s="108" t="s">
        <v>490</v>
      </c>
      <c r="D504" s="179" t="s">
        <v>332</v>
      </c>
      <c r="E504" s="88"/>
      <c r="F504" s="329">
        <v>7.2999999999999995E-2</v>
      </c>
      <c r="G504" s="330"/>
      <c r="H504" s="181">
        <v>49920</v>
      </c>
      <c r="I504" s="76" t="s">
        <v>492</v>
      </c>
      <c r="J504" s="208" t="s">
        <v>460</v>
      </c>
      <c r="K504" s="29" t="s">
        <v>491</v>
      </c>
    </row>
    <row r="505" spans="2:11" s="31" customFormat="1" ht="12">
      <c r="B505" s="180" t="s">
        <v>966</v>
      </c>
      <c r="C505" s="108" t="s">
        <v>967</v>
      </c>
      <c r="D505" s="179" t="s">
        <v>332</v>
      </c>
      <c r="E505" s="88"/>
      <c r="F505" s="329">
        <v>6.3E-2</v>
      </c>
      <c r="G505" s="330"/>
      <c r="H505" s="181">
        <v>50050</v>
      </c>
      <c r="I505" s="76" t="s">
        <v>968</v>
      </c>
      <c r="J505" s="208" t="s">
        <v>460</v>
      </c>
      <c r="K505" s="29" t="s">
        <v>491</v>
      </c>
    </row>
    <row r="506" spans="2:11" s="31" customFormat="1" ht="12">
      <c r="B506" s="180" t="s">
        <v>383</v>
      </c>
      <c r="C506" s="108" t="s">
        <v>384</v>
      </c>
      <c r="D506" s="179" t="s">
        <v>332</v>
      </c>
      <c r="E506" s="88"/>
      <c r="F506" s="329">
        <v>7.2999999999999995E-2</v>
      </c>
      <c r="G506" s="330"/>
      <c r="H506" s="181">
        <v>48300</v>
      </c>
      <c r="I506" s="76" t="s">
        <v>459</v>
      </c>
      <c r="J506" s="208" t="s">
        <v>460</v>
      </c>
      <c r="K506" s="29" t="s">
        <v>461</v>
      </c>
    </row>
    <row r="507" spans="2:11" s="31" customFormat="1" ht="12">
      <c r="B507" s="180" t="s">
        <v>89</v>
      </c>
      <c r="C507" s="108" t="s">
        <v>293</v>
      </c>
      <c r="D507" s="179" t="s">
        <v>332</v>
      </c>
      <c r="E507" s="88"/>
      <c r="F507" s="329">
        <v>0.14000000000000001</v>
      </c>
      <c r="G507" s="330"/>
      <c r="H507" s="33">
        <v>27300</v>
      </c>
      <c r="I507" s="76" t="s">
        <v>605</v>
      </c>
      <c r="J507" s="208" t="s">
        <v>460</v>
      </c>
      <c r="K507" s="29" t="s">
        <v>606</v>
      </c>
    </row>
    <row r="508" spans="2:11" s="31" customFormat="1" ht="12">
      <c r="B508" s="180" t="s">
        <v>90</v>
      </c>
      <c r="C508" s="108" t="s">
        <v>527</v>
      </c>
      <c r="D508" s="179" t="s">
        <v>332</v>
      </c>
      <c r="E508" s="88"/>
      <c r="F508" s="329">
        <v>0.16</v>
      </c>
      <c r="G508" s="330"/>
      <c r="H508" s="33">
        <v>25200</v>
      </c>
      <c r="I508" s="76" t="s">
        <v>485</v>
      </c>
      <c r="J508" s="208" t="s">
        <v>460</v>
      </c>
      <c r="K508" s="29" t="s">
        <v>607</v>
      </c>
    </row>
    <row r="509" spans="2:11" s="6" customFormat="1" ht="12.6" thickBot="1">
      <c r="B509" s="96"/>
      <c r="C509" s="24"/>
      <c r="D509" s="97"/>
      <c r="E509" s="97"/>
      <c r="F509" s="142"/>
      <c r="G509" s="142"/>
      <c r="H509" s="24"/>
      <c r="I509" s="24"/>
      <c r="J509" s="24"/>
      <c r="K509" s="98"/>
    </row>
    <row r="510" spans="2:11" s="6" customFormat="1">
      <c r="B510" s="165" t="s">
        <v>328</v>
      </c>
      <c r="C510" s="11"/>
      <c r="D510" s="66"/>
      <c r="E510" s="66"/>
      <c r="F510" s="11"/>
      <c r="G510" s="11"/>
      <c r="H510" s="11"/>
      <c r="I510" s="11"/>
      <c r="J510" s="11"/>
      <c r="K510" s="12"/>
    </row>
    <row r="511" spans="2:11" s="6" customFormat="1" ht="14.4" thickBot="1">
      <c r="B511" s="174" t="s">
        <v>200</v>
      </c>
      <c r="C511" s="175" t="s">
        <v>214</v>
      </c>
      <c r="D511" s="176" t="s">
        <v>215</v>
      </c>
      <c r="E511" s="176"/>
      <c r="F511" s="334" t="s">
        <v>203</v>
      </c>
      <c r="G511" s="334"/>
      <c r="H511" s="173" t="s">
        <v>204</v>
      </c>
      <c r="I511" s="337" t="s">
        <v>209</v>
      </c>
      <c r="J511" s="338"/>
      <c r="K511" s="177" t="s">
        <v>216</v>
      </c>
    </row>
    <row r="512" spans="2:11" s="6" customFormat="1" ht="12">
      <c r="B512" s="149"/>
      <c r="C512" s="150"/>
      <c r="D512" s="151"/>
      <c r="E512" s="151"/>
      <c r="F512" s="339" t="s">
        <v>79</v>
      </c>
      <c r="G512" s="339"/>
      <c r="H512" s="152" t="s">
        <v>2</v>
      </c>
      <c r="I512" s="136" t="s">
        <v>8</v>
      </c>
      <c r="J512" s="136" t="s">
        <v>9</v>
      </c>
      <c r="K512" s="154" t="s">
        <v>326</v>
      </c>
    </row>
    <row r="513" spans="2:11" s="31" customFormat="1" ht="12">
      <c r="B513" s="333" t="s">
        <v>72</v>
      </c>
      <c r="C513" s="32" t="s">
        <v>60</v>
      </c>
      <c r="D513" s="325" t="s">
        <v>236</v>
      </c>
      <c r="E513" s="91"/>
      <c r="F513" s="307">
        <v>3.6999999999999998E-2</v>
      </c>
      <c r="G513" s="308"/>
      <c r="H513" s="33">
        <v>200000</v>
      </c>
      <c r="I513" s="76" t="s">
        <v>73</v>
      </c>
      <c r="J513" s="76" t="s">
        <v>75</v>
      </c>
      <c r="K513" s="80" t="s">
        <v>1275</v>
      </c>
    </row>
    <row r="514" spans="2:11" s="31" customFormat="1" ht="12">
      <c r="B514" s="319"/>
      <c r="C514" s="39" t="s">
        <v>61</v>
      </c>
      <c r="D514" s="322"/>
      <c r="E514" s="92"/>
      <c r="F514" s="309">
        <v>5.7000000000000002E-2</v>
      </c>
      <c r="G514" s="310"/>
      <c r="H514" s="40">
        <v>150000</v>
      </c>
      <c r="I514" s="77" t="s">
        <v>73</v>
      </c>
      <c r="J514" s="77" t="s">
        <v>76</v>
      </c>
      <c r="K514" s="81" t="s">
        <v>1276</v>
      </c>
    </row>
    <row r="515" spans="2:11" s="31" customFormat="1" ht="12">
      <c r="B515" s="318" t="s">
        <v>64</v>
      </c>
      <c r="C515" s="43" t="s">
        <v>62</v>
      </c>
      <c r="D515" s="320" t="s">
        <v>237</v>
      </c>
      <c r="E515" s="93"/>
      <c r="F515" s="311">
        <v>0.154</v>
      </c>
      <c r="G515" s="312"/>
      <c r="H515" s="44">
        <v>40000</v>
      </c>
      <c r="I515" s="78" t="s">
        <v>74</v>
      </c>
      <c r="J515" s="78" t="s">
        <v>77</v>
      </c>
      <c r="K515" s="82" t="s">
        <v>1277</v>
      </c>
    </row>
    <row r="516" spans="2:11" s="31" customFormat="1" ht="12">
      <c r="B516" s="316"/>
      <c r="C516" s="35" t="s">
        <v>63</v>
      </c>
      <c r="D516" s="321"/>
      <c r="E516" s="94"/>
      <c r="F516" s="309">
        <v>0.19500000000000001</v>
      </c>
      <c r="G516" s="310"/>
      <c r="H516" s="206">
        <v>30000</v>
      </c>
      <c r="I516" s="79" t="s">
        <v>74</v>
      </c>
      <c r="J516" s="79" t="s">
        <v>78</v>
      </c>
      <c r="K516" s="83" t="s">
        <v>1278</v>
      </c>
    </row>
    <row r="517" spans="2:11" s="31" customFormat="1" ht="12">
      <c r="B517" s="319"/>
      <c r="C517" s="39" t="s">
        <v>225</v>
      </c>
      <c r="D517" s="322"/>
      <c r="E517" s="92"/>
      <c r="F517" s="309">
        <v>0.379</v>
      </c>
      <c r="G517" s="310"/>
      <c r="H517" s="40">
        <v>24000</v>
      </c>
      <c r="I517" s="77" t="s">
        <v>226</v>
      </c>
      <c r="J517" s="77" t="s">
        <v>77</v>
      </c>
      <c r="K517" s="81" t="s">
        <v>1274</v>
      </c>
    </row>
    <row r="518" spans="2:11" s="31" customFormat="1" ht="12">
      <c r="B518" s="318" t="s">
        <v>303</v>
      </c>
      <c r="C518" s="43" t="s">
        <v>60</v>
      </c>
      <c r="D518" s="320" t="s">
        <v>305</v>
      </c>
      <c r="E518" s="93"/>
      <c r="F518" s="311">
        <v>2.7E-2</v>
      </c>
      <c r="G518" s="312"/>
      <c r="H518" s="44">
        <v>200000</v>
      </c>
      <c r="I518" s="78" t="s">
        <v>73</v>
      </c>
      <c r="J518" s="78" t="s">
        <v>75</v>
      </c>
      <c r="K518" s="82" t="s">
        <v>1279</v>
      </c>
    </row>
    <row r="519" spans="2:11" s="31" customFormat="1" ht="12">
      <c r="B519" s="316"/>
      <c r="C519" s="32" t="s">
        <v>61</v>
      </c>
      <c r="D519" s="321"/>
      <c r="E519" s="94"/>
      <c r="F519" s="307">
        <v>5.0999999999999997E-2</v>
      </c>
      <c r="G519" s="308"/>
      <c r="H519" s="33">
        <v>150000</v>
      </c>
      <c r="I519" s="76" t="s">
        <v>73</v>
      </c>
      <c r="J519" s="76" t="s">
        <v>76</v>
      </c>
      <c r="K519" s="80" t="s">
        <v>1280</v>
      </c>
    </row>
    <row r="520" spans="2:11" s="31" customFormat="1" ht="12">
      <c r="B520" s="316"/>
      <c r="C520" s="32" t="s">
        <v>62</v>
      </c>
      <c r="D520" s="321"/>
      <c r="E520" s="94"/>
      <c r="F520" s="307">
        <v>0.13700000000000001</v>
      </c>
      <c r="G520" s="308"/>
      <c r="H520" s="33">
        <v>40000</v>
      </c>
      <c r="I520" s="76" t="s">
        <v>74</v>
      </c>
      <c r="J520" s="76" t="s">
        <v>77</v>
      </c>
      <c r="K520" s="80" t="s">
        <v>1281</v>
      </c>
    </row>
    <row r="521" spans="2:11" s="31" customFormat="1" ht="12">
      <c r="B521" s="316"/>
      <c r="C521" s="37" t="s">
        <v>63</v>
      </c>
      <c r="D521" s="321"/>
      <c r="E521" s="94"/>
      <c r="F521" s="309">
        <v>0.16400000000000001</v>
      </c>
      <c r="G521" s="310"/>
      <c r="H521" s="38">
        <v>30000</v>
      </c>
      <c r="I521" s="77" t="s">
        <v>74</v>
      </c>
      <c r="J521" s="77" t="s">
        <v>78</v>
      </c>
      <c r="K521" s="81" t="s">
        <v>1282</v>
      </c>
    </row>
    <row r="522" spans="2:11" s="31" customFormat="1" ht="12">
      <c r="B522" s="319"/>
      <c r="C522" s="39" t="s">
        <v>225</v>
      </c>
      <c r="D522" s="322"/>
      <c r="E522" s="92"/>
      <c r="F522" s="309">
        <v>0.34899999999999998</v>
      </c>
      <c r="G522" s="310"/>
      <c r="H522" s="40">
        <v>24000</v>
      </c>
      <c r="I522" s="77" t="s">
        <v>226</v>
      </c>
      <c r="J522" s="77" t="s">
        <v>77</v>
      </c>
      <c r="K522" s="81" t="s">
        <v>1283</v>
      </c>
    </row>
    <row r="523" spans="2:11" s="31" customFormat="1" ht="12">
      <c r="B523" s="318" t="s">
        <v>65</v>
      </c>
      <c r="C523" s="43" t="s">
        <v>60</v>
      </c>
      <c r="D523" s="320" t="s">
        <v>238</v>
      </c>
      <c r="E523" s="93"/>
      <c r="F523" s="311">
        <v>3.6999999999999998E-2</v>
      </c>
      <c r="G523" s="312"/>
      <c r="H523" s="44"/>
      <c r="I523" s="78"/>
      <c r="J523" s="78"/>
      <c r="K523" s="46"/>
    </row>
    <row r="524" spans="2:11" s="31" customFormat="1" ht="12">
      <c r="B524" s="316"/>
      <c r="C524" s="32" t="s">
        <v>61</v>
      </c>
      <c r="D524" s="321"/>
      <c r="E524" s="94"/>
      <c r="F524" s="307">
        <v>5.7000000000000002E-2</v>
      </c>
      <c r="G524" s="308"/>
      <c r="H524" s="33"/>
      <c r="I524" s="76"/>
      <c r="J524" s="76"/>
      <c r="K524" s="29"/>
    </row>
    <row r="525" spans="2:11" s="31" customFormat="1" ht="12">
      <c r="B525" s="316"/>
      <c r="C525" s="32" t="s">
        <v>62</v>
      </c>
      <c r="D525" s="321"/>
      <c r="E525" s="94"/>
      <c r="F525" s="307">
        <v>0.154</v>
      </c>
      <c r="G525" s="308"/>
      <c r="H525" s="33"/>
      <c r="I525" s="76"/>
      <c r="J525" s="76"/>
      <c r="K525" s="29"/>
    </row>
    <row r="526" spans="2:11" s="31" customFormat="1" ht="12">
      <c r="B526" s="316"/>
      <c r="C526" s="35" t="s">
        <v>63</v>
      </c>
      <c r="D526" s="321"/>
      <c r="E526" s="94"/>
      <c r="F526" s="309">
        <v>0.19500000000000001</v>
      </c>
      <c r="G526" s="310"/>
      <c r="H526" s="145"/>
      <c r="I526" s="79"/>
      <c r="J526" s="79"/>
      <c r="K526" s="30"/>
    </row>
    <row r="527" spans="2:11" s="31" customFormat="1" ht="12">
      <c r="B527" s="319"/>
      <c r="C527" s="39" t="s">
        <v>225</v>
      </c>
      <c r="D527" s="322"/>
      <c r="E527" s="92"/>
      <c r="F527" s="309">
        <v>0.379</v>
      </c>
      <c r="G527" s="310"/>
      <c r="H527" s="40"/>
      <c r="I527" s="77"/>
      <c r="J527" s="77"/>
      <c r="K527" s="42"/>
    </row>
    <row r="528" spans="2:11" s="31" customFormat="1" ht="12">
      <c r="B528" s="318" t="s">
        <v>304</v>
      </c>
      <c r="C528" s="43" t="s">
        <v>60</v>
      </c>
      <c r="D528" s="324" t="s">
        <v>571</v>
      </c>
      <c r="E528" s="93"/>
      <c r="F528" s="311">
        <v>3.6999999999999998E-2</v>
      </c>
      <c r="G528" s="312"/>
      <c r="H528" s="44"/>
      <c r="I528" s="45"/>
      <c r="J528" s="45"/>
      <c r="K528" s="46"/>
    </row>
    <row r="529" spans="2:11" s="31" customFormat="1" ht="12">
      <c r="B529" s="316"/>
      <c r="C529" s="32" t="s">
        <v>61</v>
      </c>
      <c r="D529" s="321"/>
      <c r="E529" s="94"/>
      <c r="F529" s="307">
        <v>5.7000000000000002E-2</v>
      </c>
      <c r="G529" s="308"/>
      <c r="H529" s="33"/>
      <c r="I529" s="34"/>
      <c r="J529" s="34"/>
      <c r="K529" s="29"/>
    </row>
    <row r="530" spans="2:11" s="31" customFormat="1" ht="12">
      <c r="B530" s="316"/>
      <c r="C530" s="32" t="s">
        <v>62</v>
      </c>
      <c r="D530" s="321"/>
      <c r="E530" s="94"/>
      <c r="F530" s="307">
        <v>0.154</v>
      </c>
      <c r="G530" s="308"/>
      <c r="H530" s="33"/>
      <c r="I530" s="34"/>
      <c r="J530" s="34"/>
      <c r="K530" s="29"/>
    </row>
    <row r="531" spans="2:11" s="31" customFormat="1" ht="12">
      <c r="B531" s="316"/>
      <c r="C531" s="37" t="s">
        <v>63</v>
      </c>
      <c r="D531" s="321"/>
      <c r="E531" s="94"/>
      <c r="F531" s="309">
        <v>0.19500000000000001</v>
      </c>
      <c r="G531" s="310"/>
      <c r="H531" s="145"/>
      <c r="I531" s="85"/>
      <c r="J531" s="85"/>
      <c r="K531" s="30"/>
    </row>
    <row r="532" spans="2:11" s="31" customFormat="1" ht="12">
      <c r="B532" s="319"/>
      <c r="C532" s="39" t="s">
        <v>225</v>
      </c>
      <c r="D532" s="322"/>
      <c r="E532" s="92"/>
      <c r="F532" s="309">
        <v>0.379</v>
      </c>
      <c r="G532" s="310"/>
      <c r="H532" s="40"/>
      <c r="I532" s="41"/>
      <c r="J532" s="41"/>
      <c r="K532" s="42"/>
    </row>
    <row r="533" spans="2:11" s="31" customFormat="1" ht="12">
      <c r="B533" s="318" t="s">
        <v>66</v>
      </c>
      <c r="C533" s="43" t="s">
        <v>60</v>
      </c>
      <c r="D533" s="320" t="s">
        <v>239</v>
      </c>
      <c r="E533" s="93"/>
      <c r="F533" s="311">
        <v>3.6999999999999998E-2</v>
      </c>
      <c r="G533" s="312"/>
      <c r="H533" s="44"/>
      <c r="I533" s="45"/>
      <c r="J533" s="45"/>
      <c r="K533" s="46"/>
    </row>
    <row r="534" spans="2:11" s="31" customFormat="1" ht="12">
      <c r="B534" s="316"/>
      <c r="C534" s="32" t="s">
        <v>61</v>
      </c>
      <c r="D534" s="321"/>
      <c r="E534" s="94"/>
      <c r="F534" s="307">
        <v>5.7000000000000002E-2</v>
      </c>
      <c r="G534" s="308"/>
      <c r="H534" s="33"/>
      <c r="I534" s="34"/>
      <c r="J534" s="34"/>
      <c r="K534" s="29"/>
    </row>
    <row r="535" spans="2:11" s="31" customFormat="1" ht="12">
      <c r="B535" s="316"/>
      <c r="C535" s="32" t="s">
        <v>62</v>
      </c>
      <c r="D535" s="321"/>
      <c r="E535" s="94"/>
      <c r="F535" s="307">
        <v>0.154</v>
      </c>
      <c r="G535" s="308"/>
      <c r="H535" s="33"/>
      <c r="I535" s="34"/>
      <c r="J535" s="34"/>
      <c r="K535" s="29"/>
    </row>
    <row r="536" spans="2:11" s="31" customFormat="1" ht="12">
      <c r="B536" s="316"/>
      <c r="C536" s="35" t="s">
        <v>63</v>
      </c>
      <c r="D536" s="321"/>
      <c r="E536" s="94"/>
      <c r="F536" s="309">
        <v>0.19500000000000001</v>
      </c>
      <c r="G536" s="310"/>
      <c r="H536" s="36"/>
      <c r="I536" s="85"/>
      <c r="J536" s="85"/>
      <c r="K536" s="30"/>
    </row>
    <row r="537" spans="2:11" s="31" customFormat="1" ht="12">
      <c r="B537" s="319"/>
      <c r="C537" s="39" t="s">
        <v>225</v>
      </c>
      <c r="D537" s="322"/>
      <c r="E537" s="92"/>
      <c r="F537" s="309">
        <v>0.379</v>
      </c>
      <c r="G537" s="310"/>
      <c r="H537" s="40"/>
      <c r="I537" s="41"/>
      <c r="J537" s="41"/>
      <c r="K537" s="42"/>
    </row>
    <row r="538" spans="2:11" s="31" customFormat="1" ht="12">
      <c r="B538" s="318" t="s">
        <v>67</v>
      </c>
      <c r="C538" s="43" t="s">
        <v>60</v>
      </c>
      <c r="D538" s="320" t="s">
        <v>240</v>
      </c>
      <c r="E538" s="93"/>
      <c r="F538" s="311">
        <v>3.6999999999999998E-2</v>
      </c>
      <c r="G538" s="312"/>
      <c r="H538" s="44"/>
      <c r="I538" s="45"/>
      <c r="J538" s="45"/>
      <c r="K538" s="46"/>
    </row>
    <row r="539" spans="2:11" s="31" customFormat="1" ht="12">
      <c r="B539" s="316"/>
      <c r="C539" s="32" t="s">
        <v>61</v>
      </c>
      <c r="D539" s="321"/>
      <c r="E539" s="94"/>
      <c r="F539" s="307">
        <v>5.7000000000000002E-2</v>
      </c>
      <c r="G539" s="308"/>
      <c r="H539" s="33"/>
      <c r="I539" s="34"/>
      <c r="J539" s="34"/>
      <c r="K539" s="29"/>
    </row>
    <row r="540" spans="2:11" s="31" customFormat="1" ht="12">
      <c r="B540" s="316"/>
      <c r="C540" s="32" t="s">
        <v>62</v>
      </c>
      <c r="D540" s="321"/>
      <c r="E540" s="94"/>
      <c r="F540" s="307">
        <v>0.154</v>
      </c>
      <c r="G540" s="308"/>
      <c r="H540" s="33"/>
      <c r="I540" s="34"/>
      <c r="J540" s="34"/>
      <c r="K540" s="29"/>
    </row>
    <row r="541" spans="2:11" s="31" customFormat="1" ht="12">
      <c r="B541" s="316"/>
      <c r="C541" s="35" t="s">
        <v>63</v>
      </c>
      <c r="D541" s="321"/>
      <c r="E541" s="94"/>
      <c r="F541" s="309">
        <v>0.19500000000000001</v>
      </c>
      <c r="G541" s="310"/>
      <c r="H541" s="36"/>
      <c r="I541" s="85"/>
      <c r="J541" s="85"/>
      <c r="K541" s="30"/>
    </row>
    <row r="542" spans="2:11" s="31" customFormat="1" ht="12">
      <c r="B542" s="319"/>
      <c r="C542" s="39" t="s">
        <v>225</v>
      </c>
      <c r="D542" s="322"/>
      <c r="E542" s="92"/>
      <c r="F542" s="309">
        <v>0.379</v>
      </c>
      <c r="G542" s="310"/>
      <c r="H542" s="40"/>
      <c r="I542" s="41"/>
      <c r="J542" s="41"/>
      <c r="K542" s="42"/>
    </row>
    <row r="543" spans="2:11" s="31" customFormat="1" ht="12">
      <c r="B543" s="317" t="s">
        <v>68</v>
      </c>
      <c r="C543" s="43" t="s">
        <v>60</v>
      </c>
      <c r="D543" s="323" t="s">
        <v>241</v>
      </c>
      <c r="E543" s="93"/>
      <c r="F543" s="311">
        <v>4.4999999999999998E-2</v>
      </c>
      <c r="G543" s="312"/>
      <c r="H543" s="44"/>
      <c r="I543" s="45"/>
      <c r="J543" s="45"/>
      <c r="K543" s="46"/>
    </row>
    <row r="544" spans="2:11" s="31" customFormat="1" ht="12">
      <c r="B544" s="317"/>
      <c r="C544" s="32" t="s">
        <v>61</v>
      </c>
      <c r="D544" s="323"/>
      <c r="E544" s="94"/>
      <c r="F544" s="307">
        <v>8.2000000000000003E-2</v>
      </c>
      <c r="G544" s="308"/>
      <c r="H544" s="33"/>
      <c r="I544" s="34"/>
      <c r="J544" s="34"/>
      <c r="K544" s="29"/>
    </row>
    <row r="545" spans="2:11" s="31" customFormat="1" ht="12">
      <c r="B545" s="317"/>
      <c r="C545" s="32" t="s">
        <v>62</v>
      </c>
      <c r="D545" s="323"/>
      <c r="E545" s="94"/>
      <c r="F545" s="307">
        <v>0.23599999999999999</v>
      </c>
      <c r="G545" s="308"/>
      <c r="H545" s="33"/>
      <c r="I545" s="34"/>
      <c r="J545" s="34"/>
      <c r="K545" s="29"/>
    </row>
    <row r="546" spans="2:11" s="31" customFormat="1" ht="12">
      <c r="B546" s="317"/>
      <c r="C546" s="35" t="s">
        <v>63</v>
      </c>
      <c r="D546" s="323"/>
      <c r="E546" s="94"/>
      <c r="F546" s="309">
        <v>0.26700000000000002</v>
      </c>
      <c r="G546" s="310"/>
      <c r="H546" s="178"/>
      <c r="I546" s="85"/>
      <c r="J546" s="85"/>
      <c r="K546" s="30"/>
    </row>
    <row r="547" spans="2:11" s="31" customFormat="1" ht="12">
      <c r="B547" s="317"/>
      <c r="C547" s="39" t="s">
        <v>225</v>
      </c>
      <c r="D547" s="323"/>
      <c r="E547" s="92"/>
      <c r="F547" s="309">
        <v>0.47199999999999998</v>
      </c>
      <c r="G547" s="310"/>
      <c r="H547" s="40"/>
      <c r="I547" s="41"/>
      <c r="J547" s="41"/>
      <c r="K547" s="42"/>
    </row>
    <row r="548" spans="2:11" s="31" customFormat="1" ht="12">
      <c r="B548" s="317" t="s">
        <v>69</v>
      </c>
      <c r="C548" s="43" t="s">
        <v>60</v>
      </c>
      <c r="D548" s="323" t="s">
        <v>242</v>
      </c>
      <c r="E548" s="93"/>
      <c r="F548" s="311">
        <v>4.2999999999999997E-2</v>
      </c>
      <c r="G548" s="312"/>
      <c r="H548" s="44"/>
      <c r="I548" s="45"/>
      <c r="J548" s="45"/>
      <c r="K548" s="46"/>
    </row>
    <row r="549" spans="2:11" s="31" customFormat="1" ht="12">
      <c r="B549" s="317"/>
      <c r="C549" s="32" t="s">
        <v>61</v>
      </c>
      <c r="D549" s="323"/>
      <c r="E549" s="94"/>
      <c r="F549" s="307">
        <v>6.6000000000000003E-2</v>
      </c>
      <c r="G549" s="308"/>
      <c r="H549" s="33"/>
      <c r="I549" s="34"/>
      <c r="J549" s="34"/>
      <c r="K549" s="29"/>
    </row>
    <row r="550" spans="2:11" s="31" customFormat="1" ht="12">
      <c r="B550" s="317"/>
      <c r="C550" s="32" t="s">
        <v>62</v>
      </c>
      <c r="D550" s="323"/>
      <c r="E550" s="94"/>
      <c r="F550" s="307">
        <v>0.17399999999999999</v>
      </c>
      <c r="G550" s="308"/>
      <c r="H550" s="33"/>
      <c r="I550" s="34"/>
      <c r="J550" s="34"/>
      <c r="K550" s="29"/>
    </row>
    <row r="551" spans="2:11" s="31" customFormat="1" ht="12">
      <c r="B551" s="317"/>
      <c r="C551" s="35" t="s">
        <v>63</v>
      </c>
      <c r="D551" s="323"/>
      <c r="E551" s="94"/>
      <c r="F551" s="309">
        <v>0.19500000000000001</v>
      </c>
      <c r="G551" s="310"/>
      <c r="H551" s="178"/>
      <c r="I551" s="85"/>
      <c r="J551" s="85"/>
      <c r="K551" s="30"/>
    </row>
    <row r="552" spans="2:11" s="31" customFormat="1" ht="12">
      <c r="B552" s="317"/>
      <c r="C552" s="39" t="s">
        <v>225</v>
      </c>
      <c r="D552" s="323"/>
      <c r="E552" s="92"/>
      <c r="F552" s="309">
        <v>0.39</v>
      </c>
      <c r="G552" s="310"/>
      <c r="H552" s="40"/>
      <c r="I552" s="41"/>
      <c r="J552" s="41"/>
      <c r="K552" s="42"/>
    </row>
    <row r="553" spans="2:11" s="31" customFormat="1" ht="12">
      <c r="B553" s="318" t="s">
        <v>70</v>
      </c>
      <c r="C553" s="43" t="s">
        <v>60</v>
      </c>
      <c r="D553" s="320" t="s">
        <v>243</v>
      </c>
      <c r="E553" s="93"/>
      <c r="F553" s="311">
        <v>4.2999999999999997E-2</v>
      </c>
      <c r="G553" s="312"/>
      <c r="H553" s="44"/>
      <c r="I553" s="45"/>
      <c r="J553" s="45"/>
      <c r="K553" s="46"/>
    </row>
    <row r="554" spans="2:11" s="31" customFormat="1" ht="12">
      <c r="B554" s="316"/>
      <c r="C554" s="32" t="s">
        <v>61</v>
      </c>
      <c r="D554" s="321"/>
      <c r="E554" s="94"/>
      <c r="F554" s="307">
        <v>6.6000000000000003E-2</v>
      </c>
      <c r="G554" s="308"/>
      <c r="H554" s="33"/>
      <c r="I554" s="34"/>
      <c r="J554" s="34"/>
      <c r="K554" s="29"/>
    </row>
    <row r="555" spans="2:11" s="31" customFormat="1" ht="12">
      <c r="B555" s="316"/>
      <c r="C555" s="32" t="s">
        <v>62</v>
      </c>
      <c r="D555" s="321"/>
      <c r="E555" s="94"/>
      <c r="F555" s="307">
        <v>0.17399999999999999</v>
      </c>
      <c r="G555" s="308"/>
      <c r="H555" s="33"/>
      <c r="I555" s="34"/>
      <c r="J555" s="34"/>
      <c r="K555" s="29"/>
    </row>
    <row r="556" spans="2:11" s="31" customFormat="1" ht="12">
      <c r="B556" s="316"/>
      <c r="C556" s="35" t="s">
        <v>63</v>
      </c>
      <c r="D556" s="321"/>
      <c r="E556" s="94"/>
      <c r="F556" s="309">
        <v>0.19500000000000001</v>
      </c>
      <c r="G556" s="310"/>
      <c r="H556" s="36"/>
      <c r="I556" s="85"/>
      <c r="J556" s="85"/>
      <c r="K556" s="30"/>
    </row>
    <row r="557" spans="2:11" s="31" customFormat="1" ht="12">
      <c r="B557" s="319"/>
      <c r="C557" s="39" t="s">
        <v>225</v>
      </c>
      <c r="D557" s="322"/>
      <c r="E557" s="92"/>
      <c r="F557" s="309">
        <v>0.39</v>
      </c>
      <c r="G557" s="310"/>
      <c r="H557" s="40"/>
      <c r="I557" s="41"/>
      <c r="J557" s="41"/>
      <c r="K557" s="42"/>
    </row>
    <row r="558" spans="2:11" s="31" customFormat="1" ht="12">
      <c r="B558" s="318" t="s">
        <v>71</v>
      </c>
      <c r="C558" s="43" t="s">
        <v>60</v>
      </c>
      <c r="D558" s="320" t="s">
        <v>246</v>
      </c>
      <c r="E558" s="93"/>
      <c r="F558" s="311">
        <v>4.2999999999999997E-2</v>
      </c>
      <c r="G558" s="312"/>
      <c r="H558" s="44"/>
      <c r="I558" s="45"/>
      <c r="J558" s="45"/>
      <c r="K558" s="46"/>
    </row>
    <row r="559" spans="2:11" s="31" customFormat="1" ht="12">
      <c r="B559" s="316"/>
      <c r="C559" s="32" t="s">
        <v>61</v>
      </c>
      <c r="D559" s="321"/>
      <c r="E559" s="94"/>
      <c r="F559" s="307">
        <v>6.6000000000000003E-2</v>
      </c>
      <c r="G559" s="308"/>
      <c r="H559" s="33"/>
      <c r="I559" s="34"/>
      <c r="J559" s="34"/>
      <c r="K559" s="29"/>
    </row>
    <row r="560" spans="2:11" s="31" customFormat="1" ht="12">
      <c r="B560" s="316"/>
      <c r="C560" s="32" t="s">
        <v>62</v>
      </c>
      <c r="D560" s="321"/>
      <c r="E560" s="94"/>
      <c r="F560" s="307">
        <v>0.17399999999999999</v>
      </c>
      <c r="G560" s="308"/>
      <c r="H560" s="33"/>
      <c r="I560" s="34"/>
      <c r="J560" s="34"/>
      <c r="K560" s="29"/>
    </row>
    <row r="561" spans="2:11" s="31" customFormat="1" ht="12">
      <c r="B561" s="316"/>
      <c r="C561" s="35" t="s">
        <v>63</v>
      </c>
      <c r="D561" s="321"/>
      <c r="E561" s="94"/>
      <c r="F561" s="307">
        <v>0.19500000000000001</v>
      </c>
      <c r="G561" s="308"/>
      <c r="H561" s="36"/>
      <c r="I561" s="85"/>
      <c r="J561" s="85"/>
      <c r="K561" s="30"/>
    </row>
    <row r="562" spans="2:11" s="31" customFormat="1" ht="12">
      <c r="B562" s="319"/>
      <c r="C562" s="39" t="s">
        <v>225</v>
      </c>
      <c r="D562" s="322"/>
      <c r="E562" s="92"/>
      <c r="F562" s="309">
        <v>0.39</v>
      </c>
      <c r="G562" s="310"/>
      <c r="H562" s="40"/>
      <c r="I562" s="41"/>
      <c r="J562" s="41"/>
      <c r="K562" s="42"/>
    </row>
    <row r="563" spans="2:11" s="31" customFormat="1" ht="12">
      <c r="B563" s="315" t="s">
        <v>1272</v>
      </c>
      <c r="C563" s="43" t="s">
        <v>60</v>
      </c>
      <c r="D563" s="324" t="s">
        <v>1273</v>
      </c>
      <c r="E563" s="93"/>
      <c r="F563" s="311" t="s">
        <v>337</v>
      </c>
      <c r="G563" s="312"/>
      <c r="H563" s="44"/>
      <c r="I563" s="78"/>
      <c r="J563" s="78"/>
      <c r="K563" s="46"/>
    </row>
    <row r="564" spans="2:11" s="31" customFormat="1" ht="12">
      <c r="B564" s="316"/>
      <c r="C564" s="32" t="s">
        <v>61</v>
      </c>
      <c r="D564" s="321"/>
      <c r="E564" s="94"/>
      <c r="F564" s="307">
        <v>6.8000000000000005E-2</v>
      </c>
      <c r="G564" s="308"/>
      <c r="H564" s="33">
        <v>50000</v>
      </c>
      <c r="I564" s="76" t="s">
        <v>73</v>
      </c>
      <c r="J564" s="76" t="s">
        <v>76</v>
      </c>
      <c r="K564" s="80" t="s">
        <v>1284</v>
      </c>
    </row>
    <row r="565" spans="2:11" s="31" customFormat="1" ht="12">
      <c r="B565" s="316"/>
      <c r="C565" s="32" t="s">
        <v>62</v>
      </c>
      <c r="D565" s="321"/>
      <c r="E565" s="94"/>
      <c r="F565" s="307">
        <v>0.183</v>
      </c>
      <c r="G565" s="308"/>
      <c r="H565" s="33">
        <v>20000</v>
      </c>
      <c r="I565" s="76" t="s">
        <v>74</v>
      </c>
      <c r="J565" s="76" t="s">
        <v>77</v>
      </c>
      <c r="K565" s="80" t="s">
        <v>1285</v>
      </c>
    </row>
    <row r="566" spans="2:11" s="31" customFormat="1" ht="12">
      <c r="B566" s="316"/>
      <c r="C566" s="35" t="s">
        <v>63</v>
      </c>
      <c r="D566" s="321"/>
      <c r="E566" s="94"/>
      <c r="F566" s="309" t="s">
        <v>337</v>
      </c>
      <c r="G566" s="310"/>
      <c r="H566" s="36"/>
      <c r="I566" s="79"/>
      <c r="J566" s="79"/>
      <c r="K566" s="30"/>
    </row>
    <row r="567" spans="2:11" s="31" customFormat="1" ht="12">
      <c r="B567" s="316"/>
      <c r="C567" s="35" t="s">
        <v>225</v>
      </c>
      <c r="D567" s="321"/>
      <c r="E567" s="94"/>
      <c r="F567" s="313" t="s">
        <v>337</v>
      </c>
      <c r="G567" s="314"/>
      <c r="H567" s="36"/>
      <c r="I567" s="79"/>
      <c r="J567" s="79"/>
      <c r="K567" s="30"/>
    </row>
    <row r="568" spans="2:11" s="6" customFormat="1" ht="12.6" thickBot="1">
      <c r="B568" s="96"/>
      <c r="C568" s="24"/>
      <c r="D568" s="97"/>
      <c r="E568" s="97"/>
      <c r="F568" s="24"/>
      <c r="G568" s="24"/>
      <c r="H568" s="24"/>
      <c r="I568" s="24"/>
      <c r="J568" s="24"/>
      <c r="K568" s="98"/>
    </row>
    <row r="569" spans="2:11" s="6" customFormat="1">
      <c r="B569" s="165" t="s">
        <v>340</v>
      </c>
      <c r="C569" s="146"/>
      <c r="D569" s="147"/>
      <c r="E569" s="147"/>
      <c r="F569" s="146"/>
      <c r="G569" s="146"/>
      <c r="H569" s="146"/>
      <c r="I569" s="146"/>
      <c r="J569" s="146"/>
      <c r="K569" s="148"/>
    </row>
    <row r="570" spans="2:11" s="70" customFormat="1" ht="12.6" thickBot="1">
      <c r="B570" s="174" t="s">
        <v>200</v>
      </c>
      <c r="C570" s="175" t="s">
        <v>201</v>
      </c>
      <c r="D570" s="176" t="s">
        <v>202</v>
      </c>
      <c r="E570" s="176"/>
      <c r="F570" s="284" t="s">
        <v>203</v>
      </c>
      <c r="G570" s="284" t="s">
        <v>302</v>
      </c>
      <c r="H570" s="173" t="s">
        <v>204</v>
      </c>
      <c r="I570" s="337" t="s">
        <v>1254</v>
      </c>
      <c r="J570" s="338"/>
      <c r="K570" s="155" t="s">
        <v>330</v>
      </c>
    </row>
    <row r="571" spans="2:11" s="70" customFormat="1" ht="12">
      <c r="B571" s="149"/>
      <c r="C571" s="150"/>
      <c r="D571" s="151"/>
      <c r="E571" s="151"/>
      <c r="F571" s="295" t="s">
        <v>79</v>
      </c>
      <c r="G571" s="295"/>
      <c r="H571" s="152" t="s">
        <v>206</v>
      </c>
      <c r="I571" s="136" t="s">
        <v>1006</v>
      </c>
      <c r="J571" s="222" t="s">
        <v>1167</v>
      </c>
      <c r="K571" s="153" t="s">
        <v>10</v>
      </c>
    </row>
    <row r="572" spans="2:11" s="6" customFormat="1" ht="12" customHeight="1">
      <c r="B572" s="192" t="s">
        <v>12</v>
      </c>
      <c r="C572" s="7" t="s">
        <v>584</v>
      </c>
      <c r="D572" s="86" t="s">
        <v>585</v>
      </c>
      <c r="E572" s="302"/>
      <c r="F572" s="294">
        <v>0.28000000000000003</v>
      </c>
      <c r="G572" s="294"/>
      <c r="H572" s="304" t="s">
        <v>988</v>
      </c>
      <c r="I572" s="8">
        <v>1000</v>
      </c>
      <c r="J572" s="217" t="s">
        <v>528</v>
      </c>
      <c r="K572" s="56" t="s">
        <v>561</v>
      </c>
    </row>
    <row r="573" spans="2:11" s="6" customFormat="1" ht="12" customHeight="1">
      <c r="B573" s="275" t="s">
        <v>574</v>
      </c>
      <c r="C573" s="20" t="s">
        <v>576</v>
      </c>
      <c r="D573" s="238" t="s">
        <v>575</v>
      </c>
      <c r="E573" s="303"/>
      <c r="F573" s="294">
        <v>0.53</v>
      </c>
      <c r="G573" s="294" t="s">
        <v>301</v>
      </c>
      <c r="H573" s="305" t="s">
        <v>989</v>
      </c>
      <c r="I573" s="21">
        <v>1250</v>
      </c>
      <c r="J573" s="217" t="s">
        <v>528</v>
      </c>
      <c r="K573" s="240" t="s">
        <v>199</v>
      </c>
    </row>
    <row r="574" spans="2:11" s="6" customFormat="1" ht="12" customHeight="1">
      <c r="B574" s="192" t="s">
        <v>582</v>
      </c>
      <c r="C574" s="7" t="s">
        <v>583</v>
      </c>
      <c r="D574" s="86" t="s">
        <v>588</v>
      </c>
      <c r="E574" s="302"/>
      <c r="F574" s="294">
        <v>0.7</v>
      </c>
      <c r="G574" s="294"/>
      <c r="H574" s="304" t="s">
        <v>990</v>
      </c>
      <c r="I574" s="8">
        <v>600</v>
      </c>
      <c r="J574" s="217" t="s">
        <v>528</v>
      </c>
      <c r="K574" s="56" t="s">
        <v>199</v>
      </c>
    </row>
    <row r="575" spans="2:11" s="6" customFormat="1" ht="12" customHeight="1">
      <c r="B575" s="192" t="s">
        <v>586</v>
      </c>
      <c r="C575" s="7" t="s">
        <v>587</v>
      </c>
      <c r="D575" s="86" t="s">
        <v>589</v>
      </c>
      <c r="E575" s="302"/>
      <c r="F575" s="294">
        <v>0.36</v>
      </c>
      <c r="G575" s="294"/>
      <c r="H575" s="304" t="s">
        <v>991</v>
      </c>
      <c r="I575" s="8">
        <v>840</v>
      </c>
      <c r="J575" s="217" t="s">
        <v>528</v>
      </c>
      <c r="K575" s="56" t="s">
        <v>199</v>
      </c>
    </row>
    <row r="576" spans="2:11" s="6" customFormat="1" ht="12" customHeight="1">
      <c r="B576" s="192" t="s">
        <v>625</v>
      </c>
      <c r="C576" s="7" t="s">
        <v>622</v>
      </c>
      <c r="D576" s="86" t="s">
        <v>626</v>
      </c>
      <c r="E576" s="302"/>
      <c r="F576" s="294">
        <v>0.3</v>
      </c>
      <c r="G576" s="294"/>
      <c r="H576" s="304" t="s">
        <v>992</v>
      </c>
      <c r="I576" s="8">
        <v>1200</v>
      </c>
      <c r="J576" s="217" t="s">
        <v>528</v>
      </c>
      <c r="K576" s="56" t="s">
        <v>199</v>
      </c>
    </row>
    <row r="577" spans="2:11" s="6" customFormat="1" ht="12" customHeight="1">
      <c r="B577" s="192" t="s">
        <v>651</v>
      </c>
      <c r="C577" s="7" t="s">
        <v>657</v>
      </c>
      <c r="D577" s="86"/>
      <c r="E577" s="302"/>
      <c r="F577" s="294">
        <v>0.14000000000000001</v>
      </c>
      <c r="G577" s="294" t="s">
        <v>301</v>
      </c>
      <c r="H577" s="304" t="s">
        <v>993</v>
      </c>
      <c r="I577" s="8">
        <v>2400</v>
      </c>
      <c r="J577" s="217" t="s">
        <v>648</v>
      </c>
      <c r="K577" s="56" t="s">
        <v>561</v>
      </c>
    </row>
    <row r="578" spans="2:11" s="6" customFormat="1" ht="12" customHeight="1">
      <c r="B578" s="192" t="s">
        <v>652</v>
      </c>
      <c r="C578" s="7" t="s">
        <v>658</v>
      </c>
      <c r="D578" s="86"/>
      <c r="E578" s="89"/>
      <c r="F578" s="281">
        <v>0.19</v>
      </c>
      <c r="G578" s="294" t="s">
        <v>301</v>
      </c>
      <c r="H578" s="286" t="s">
        <v>992</v>
      </c>
      <c r="I578" s="8">
        <v>1200</v>
      </c>
      <c r="J578" s="217" t="s">
        <v>649</v>
      </c>
      <c r="K578" s="56" t="s">
        <v>561</v>
      </c>
    </row>
    <row r="579" spans="2:11" s="6" customFormat="1" ht="12" customHeight="1">
      <c r="B579" s="192" t="s">
        <v>653</v>
      </c>
      <c r="C579" s="7" t="s">
        <v>659</v>
      </c>
      <c r="D579" s="86"/>
      <c r="E579" s="89"/>
      <c r="F579" s="281">
        <v>0.39</v>
      </c>
      <c r="G579" s="294" t="s">
        <v>301</v>
      </c>
      <c r="H579" s="286" t="s">
        <v>994</v>
      </c>
      <c r="I579" s="8">
        <v>480</v>
      </c>
      <c r="J579" s="217" t="s">
        <v>650</v>
      </c>
      <c r="K579" s="56" t="s">
        <v>199</v>
      </c>
    </row>
    <row r="580" spans="2:11" s="6" customFormat="1" ht="12" customHeight="1">
      <c r="B580" s="192" t="s">
        <v>654</v>
      </c>
      <c r="C580" s="7" t="s">
        <v>660</v>
      </c>
      <c r="D580" s="86"/>
      <c r="E580" s="89"/>
      <c r="F580" s="281">
        <v>0.2</v>
      </c>
      <c r="G580" s="294"/>
      <c r="H580" s="286" t="s">
        <v>993</v>
      </c>
      <c r="I580" s="8">
        <v>2400</v>
      </c>
      <c r="J580" s="217" t="s">
        <v>648</v>
      </c>
      <c r="K580" s="56" t="s">
        <v>561</v>
      </c>
    </row>
    <row r="581" spans="2:11" s="6" customFormat="1" ht="12" customHeight="1">
      <c r="B581" s="192" t="s">
        <v>655</v>
      </c>
      <c r="C581" s="7" t="s">
        <v>661</v>
      </c>
      <c r="D581" s="86"/>
      <c r="E581" s="89"/>
      <c r="F581" s="281">
        <v>0.28000000000000003</v>
      </c>
      <c r="G581" s="294"/>
      <c r="H581" s="286" t="s">
        <v>992</v>
      </c>
      <c r="I581" s="8">
        <v>1200</v>
      </c>
      <c r="J581" s="217" t="s">
        <v>649</v>
      </c>
      <c r="K581" s="56" t="s">
        <v>561</v>
      </c>
    </row>
    <row r="582" spans="2:11" s="6" customFormat="1" ht="12" customHeight="1">
      <c r="B582" s="275" t="s">
        <v>656</v>
      </c>
      <c r="C582" s="20" t="s">
        <v>662</v>
      </c>
      <c r="D582" s="238"/>
      <c r="E582" s="239"/>
      <c r="F582" s="281">
        <v>0.45</v>
      </c>
      <c r="G582" s="294"/>
      <c r="H582" s="287" t="s">
        <v>994</v>
      </c>
      <c r="I582" s="21">
        <v>480</v>
      </c>
      <c r="J582" s="261" t="s">
        <v>650</v>
      </c>
      <c r="K582" s="240" t="s">
        <v>199</v>
      </c>
    </row>
    <row r="583" spans="2:11" s="6" customFormat="1" ht="12.6" customHeight="1" thickBot="1">
      <c r="B583" s="276" t="s">
        <v>984</v>
      </c>
      <c r="C583" s="194" t="s">
        <v>985</v>
      </c>
      <c r="D583" s="195" t="s">
        <v>986</v>
      </c>
      <c r="E583" s="196"/>
      <c r="F583" s="283">
        <v>0.72</v>
      </c>
      <c r="G583" s="294"/>
      <c r="H583" s="288" t="s">
        <v>995</v>
      </c>
      <c r="I583" s="197">
        <v>460</v>
      </c>
      <c r="J583" s="242" t="s">
        <v>528</v>
      </c>
      <c r="K583" s="241" t="s">
        <v>199</v>
      </c>
    </row>
    <row r="584" spans="2:11" s="6" customFormat="1" ht="12" customHeight="1">
      <c r="B584" s="227" t="s">
        <v>414</v>
      </c>
      <c r="C584" s="228" t="s">
        <v>423</v>
      </c>
      <c r="D584" s="229" t="s">
        <v>537</v>
      </c>
      <c r="E584" s="230"/>
      <c r="F584" s="282">
        <v>1.1499999999999999</v>
      </c>
      <c r="G584" s="300"/>
      <c r="H584" s="289" t="s">
        <v>83</v>
      </c>
      <c r="I584" s="231" t="s">
        <v>83</v>
      </c>
      <c r="J584" s="243" t="s">
        <v>528</v>
      </c>
      <c r="K584" s="232" t="s">
        <v>341</v>
      </c>
    </row>
    <row r="585" spans="2:11" s="6" customFormat="1" ht="12" customHeight="1">
      <c r="B585" s="16" t="s">
        <v>415</v>
      </c>
      <c r="C585" s="7" t="s">
        <v>424</v>
      </c>
      <c r="D585" s="86" t="s">
        <v>537</v>
      </c>
      <c r="E585" s="89"/>
      <c r="F585" s="281">
        <v>1.1499999999999999</v>
      </c>
      <c r="G585" s="294"/>
      <c r="H585" s="286" t="s">
        <v>83</v>
      </c>
      <c r="I585" s="8" t="s">
        <v>83</v>
      </c>
      <c r="J585" s="217" t="s">
        <v>528</v>
      </c>
      <c r="K585" s="56" t="s">
        <v>341</v>
      </c>
    </row>
    <row r="586" spans="2:11" s="6" customFormat="1" ht="12" customHeight="1">
      <c r="B586" s="16" t="s">
        <v>416</v>
      </c>
      <c r="C586" s="7" t="s">
        <v>425</v>
      </c>
      <c r="D586" s="86" t="s">
        <v>537</v>
      </c>
      <c r="E586" s="89"/>
      <c r="F586" s="281">
        <v>1.1499999999999999</v>
      </c>
      <c r="G586" s="294"/>
      <c r="H586" s="286" t="s">
        <v>83</v>
      </c>
      <c r="I586" s="8" t="s">
        <v>83</v>
      </c>
      <c r="J586" s="217" t="s">
        <v>528</v>
      </c>
      <c r="K586" s="56" t="s">
        <v>341</v>
      </c>
    </row>
    <row r="587" spans="2:11" s="6" customFormat="1" ht="12" customHeight="1">
      <c r="B587" s="16" t="s">
        <v>417</v>
      </c>
      <c r="C587" s="7" t="s">
        <v>426</v>
      </c>
      <c r="D587" s="86" t="s">
        <v>537</v>
      </c>
      <c r="E587" s="89"/>
      <c r="F587" s="281">
        <v>1.1499999999999999</v>
      </c>
      <c r="G587" s="294"/>
      <c r="H587" s="286" t="s">
        <v>83</v>
      </c>
      <c r="I587" s="8" t="s">
        <v>83</v>
      </c>
      <c r="J587" s="217" t="s">
        <v>528</v>
      </c>
      <c r="K587" s="56" t="s">
        <v>341</v>
      </c>
    </row>
    <row r="588" spans="2:11" s="6" customFormat="1" ht="12" customHeight="1">
      <c r="B588" s="16" t="s">
        <v>418</v>
      </c>
      <c r="C588" s="7" t="s">
        <v>427</v>
      </c>
      <c r="D588" s="86" t="s">
        <v>537</v>
      </c>
      <c r="E588" s="89"/>
      <c r="F588" s="281">
        <v>1.1499999999999999</v>
      </c>
      <c r="G588" s="294"/>
      <c r="H588" s="286" t="s">
        <v>83</v>
      </c>
      <c r="I588" s="8" t="s">
        <v>83</v>
      </c>
      <c r="J588" s="217" t="s">
        <v>528</v>
      </c>
      <c r="K588" s="56" t="s">
        <v>341</v>
      </c>
    </row>
    <row r="589" spans="2:11" s="6" customFormat="1" ht="12" customHeight="1">
      <c r="B589" s="16" t="s">
        <v>419</v>
      </c>
      <c r="C589" s="7" t="s">
        <v>428</v>
      </c>
      <c r="D589" s="86" t="s">
        <v>537</v>
      </c>
      <c r="E589" s="89"/>
      <c r="F589" s="281">
        <v>1.1499999999999999</v>
      </c>
      <c r="G589" s="294"/>
      <c r="H589" s="286" t="s">
        <v>83</v>
      </c>
      <c r="I589" s="8" t="s">
        <v>83</v>
      </c>
      <c r="J589" s="217" t="s">
        <v>528</v>
      </c>
      <c r="K589" s="56" t="s">
        <v>341</v>
      </c>
    </row>
    <row r="590" spans="2:11" s="6" customFormat="1" ht="12" customHeight="1">
      <c r="B590" s="16" t="s">
        <v>420</v>
      </c>
      <c r="C590" s="7" t="s">
        <v>429</v>
      </c>
      <c r="D590" s="86" t="s">
        <v>537</v>
      </c>
      <c r="E590" s="89"/>
      <c r="F590" s="281">
        <v>1.1499999999999999</v>
      </c>
      <c r="G590" s="294"/>
      <c r="H590" s="286" t="s">
        <v>83</v>
      </c>
      <c r="I590" s="8" t="s">
        <v>83</v>
      </c>
      <c r="J590" s="217" t="s">
        <v>528</v>
      </c>
      <c r="K590" s="56" t="s">
        <v>341</v>
      </c>
    </row>
    <row r="591" spans="2:11" s="6" customFormat="1" ht="12" customHeight="1">
      <c r="B591" s="16" t="s">
        <v>421</v>
      </c>
      <c r="C591" s="7" t="s">
        <v>430</v>
      </c>
      <c r="D591" s="86" t="s">
        <v>537</v>
      </c>
      <c r="E591" s="89"/>
      <c r="F591" s="281">
        <v>1.1499999999999999</v>
      </c>
      <c r="G591" s="294"/>
      <c r="H591" s="286" t="s">
        <v>83</v>
      </c>
      <c r="I591" s="8" t="s">
        <v>83</v>
      </c>
      <c r="J591" s="217" t="s">
        <v>528</v>
      </c>
      <c r="K591" s="56" t="s">
        <v>341</v>
      </c>
    </row>
    <row r="592" spans="2:11" s="6" customFormat="1" ht="12" customHeight="1">
      <c r="B592" s="16" t="s">
        <v>422</v>
      </c>
      <c r="C592" s="7" t="s">
        <v>431</v>
      </c>
      <c r="D592" s="86" t="s">
        <v>537</v>
      </c>
      <c r="E592" s="89"/>
      <c r="F592" s="281">
        <v>1.1499999999999999</v>
      </c>
      <c r="G592" s="294"/>
      <c r="H592" s="286" t="s">
        <v>83</v>
      </c>
      <c r="I592" s="8" t="s">
        <v>83</v>
      </c>
      <c r="J592" s="217" t="s">
        <v>528</v>
      </c>
      <c r="K592" s="56" t="s">
        <v>341</v>
      </c>
    </row>
    <row r="593" spans="2:11" s="6" customFormat="1" ht="12" customHeight="1">
      <c r="B593" s="16" t="s">
        <v>538</v>
      </c>
      <c r="C593" s="7" t="s">
        <v>540</v>
      </c>
      <c r="D593" s="86" t="s">
        <v>537</v>
      </c>
      <c r="E593" s="89"/>
      <c r="F593" s="281">
        <v>1.1499999999999999</v>
      </c>
      <c r="G593" s="294"/>
      <c r="H593" s="286" t="s">
        <v>83</v>
      </c>
      <c r="I593" s="8" t="s">
        <v>83</v>
      </c>
      <c r="J593" s="217" t="s">
        <v>528</v>
      </c>
      <c r="K593" s="56" t="s">
        <v>341</v>
      </c>
    </row>
    <row r="594" spans="2:11" s="6" customFormat="1" ht="12" customHeight="1">
      <c r="B594" s="192" t="s">
        <v>539</v>
      </c>
      <c r="C594" s="7" t="s">
        <v>541</v>
      </c>
      <c r="D594" s="86" t="s">
        <v>542</v>
      </c>
      <c r="E594" s="89"/>
      <c r="F594" s="281">
        <v>2.4300000000000002</v>
      </c>
      <c r="G594" s="294"/>
      <c r="H594" s="286" t="s">
        <v>996</v>
      </c>
      <c r="I594" s="8">
        <v>100</v>
      </c>
      <c r="J594" s="217" t="s">
        <v>528</v>
      </c>
      <c r="K594" s="56" t="s">
        <v>341</v>
      </c>
    </row>
    <row r="595" spans="2:11" s="6" customFormat="1" ht="12" customHeight="1">
      <c r="B595" s="192" t="s">
        <v>577</v>
      </c>
      <c r="C595" s="7" t="s">
        <v>578</v>
      </c>
      <c r="D595" s="86" t="s">
        <v>579</v>
      </c>
      <c r="E595" s="89"/>
      <c r="F595" s="281">
        <v>1</v>
      </c>
      <c r="G595" s="294" t="s">
        <v>301</v>
      </c>
      <c r="H595" s="286" t="s">
        <v>997</v>
      </c>
      <c r="I595" s="8">
        <v>144</v>
      </c>
      <c r="J595" s="217" t="s">
        <v>528</v>
      </c>
      <c r="K595" s="56" t="s">
        <v>341</v>
      </c>
    </row>
    <row r="596" spans="2:11" s="6" customFormat="1" ht="12" customHeight="1">
      <c r="B596" s="192" t="s">
        <v>668</v>
      </c>
      <c r="C596" s="7" t="s">
        <v>670</v>
      </c>
      <c r="D596" s="86" t="s">
        <v>671</v>
      </c>
      <c r="E596" s="89"/>
      <c r="F596" s="281">
        <v>1.6</v>
      </c>
      <c r="G596" s="294" t="s">
        <v>301</v>
      </c>
      <c r="H596" s="286" t="s">
        <v>998</v>
      </c>
      <c r="I596" s="8">
        <v>60</v>
      </c>
      <c r="J596" s="217" t="s">
        <v>528</v>
      </c>
      <c r="K596" s="56" t="s">
        <v>341</v>
      </c>
    </row>
    <row r="597" spans="2:11" s="6" customFormat="1" ht="12.6" customHeight="1" thickBot="1">
      <c r="B597" s="276" t="s">
        <v>669</v>
      </c>
      <c r="C597" s="194" t="s">
        <v>672</v>
      </c>
      <c r="D597" s="195" t="s">
        <v>579</v>
      </c>
      <c r="E597" s="196"/>
      <c r="F597" s="283">
        <v>1.1000000000000001</v>
      </c>
      <c r="G597" s="299"/>
      <c r="H597" s="288" t="s">
        <v>999</v>
      </c>
      <c r="I597" s="197">
        <v>90</v>
      </c>
      <c r="J597" s="242" t="s">
        <v>528</v>
      </c>
      <c r="K597" s="241" t="s">
        <v>341</v>
      </c>
    </row>
    <row r="598" spans="2:11" s="6" customFormat="1" ht="12" customHeight="1">
      <c r="B598" s="226" t="s">
        <v>1259</v>
      </c>
      <c r="C598" s="218"/>
      <c r="D598" s="219"/>
      <c r="E598" s="220"/>
      <c r="F598" s="221"/>
      <c r="G598" s="301"/>
      <c r="H598" s="224" t="s">
        <v>204</v>
      </c>
      <c r="I598" s="285" t="s">
        <v>1006</v>
      </c>
      <c r="J598" s="222" t="s">
        <v>1167</v>
      </c>
      <c r="K598" s="223"/>
    </row>
    <row r="599" spans="2:11" s="6" customFormat="1" ht="12">
      <c r="B599" s="216" t="s">
        <v>11</v>
      </c>
      <c r="C599" s="7" t="s">
        <v>558</v>
      </c>
      <c r="D599" s="86" t="s">
        <v>559</v>
      </c>
      <c r="E599" s="302"/>
      <c r="F599" s="294">
        <v>0.24</v>
      </c>
      <c r="G599" s="294"/>
      <c r="H599" s="304" t="s">
        <v>987</v>
      </c>
      <c r="I599" s="8">
        <v>1000</v>
      </c>
      <c r="J599" s="217" t="s">
        <v>528</v>
      </c>
      <c r="K599" s="56" t="s">
        <v>561</v>
      </c>
    </row>
    <row r="600" spans="2:11" s="6" customFormat="1" ht="12" customHeight="1">
      <c r="B600" s="216" t="s">
        <v>495</v>
      </c>
      <c r="C600" s="7" t="s">
        <v>556</v>
      </c>
      <c r="D600" s="86" t="s">
        <v>497</v>
      </c>
      <c r="E600" s="89"/>
      <c r="F600" s="281">
        <v>0.39</v>
      </c>
      <c r="G600" s="294"/>
      <c r="H600" s="286" t="s">
        <v>1000</v>
      </c>
      <c r="I600" s="8">
        <v>460</v>
      </c>
      <c r="J600" s="217" t="s">
        <v>528</v>
      </c>
      <c r="K600" s="56" t="s">
        <v>498</v>
      </c>
    </row>
    <row r="601" spans="2:11" s="6" customFormat="1" ht="12" customHeight="1">
      <c r="B601" s="216" t="s">
        <v>496</v>
      </c>
      <c r="C601" s="7" t="s">
        <v>557</v>
      </c>
      <c r="D601" s="86" t="s">
        <v>536</v>
      </c>
      <c r="E601" s="89"/>
      <c r="F601" s="281">
        <v>0.71</v>
      </c>
      <c r="G601" s="294" t="s">
        <v>301</v>
      </c>
      <c r="H601" s="286" t="s">
        <v>1001</v>
      </c>
      <c r="I601" s="8">
        <v>110</v>
      </c>
      <c r="J601" s="217" t="s">
        <v>528</v>
      </c>
      <c r="K601" s="56" t="s">
        <v>341</v>
      </c>
    </row>
    <row r="602" spans="2:11" s="6" customFormat="1" ht="12" customHeight="1">
      <c r="B602" s="216" t="s">
        <v>667</v>
      </c>
      <c r="C602" s="7" t="s">
        <v>555</v>
      </c>
      <c r="D602" s="86" t="s">
        <v>554</v>
      </c>
      <c r="E602" s="89"/>
      <c r="F602" s="281">
        <v>1.6</v>
      </c>
      <c r="G602" s="294"/>
      <c r="H602" s="286" t="s">
        <v>1002</v>
      </c>
      <c r="I602" s="8">
        <v>50</v>
      </c>
      <c r="J602" s="217" t="s">
        <v>528</v>
      </c>
      <c r="K602" s="56" t="s">
        <v>560</v>
      </c>
    </row>
    <row r="603" spans="2:11" s="6" customFormat="1" ht="12.6" thickBot="1">
      <c r="B603" s="209"/>
      <c r="C603" s="210"/>
      <c r="D603" s="211"/>
      <c r="E603" s="211"/>
      <c r="F603" s="212"/>
      <c r="G603" s="212"/>
      <c r="H603" s="213"/>
      <c r="I603" s="214"/>
      <c r="J603" s="214"/>
      <c r="K603" s="215"/>
    </row>
    <row r="604" spans="2:11" s="6" customFormat="1">
      <c r="B604" s="165" t="s">
        <v>1253</v>
      </c>
      <c r="C604" s="146"/>
      <c r="D604" s="147"/>
      <c r="E604" s="147"/>
      <c r="F604" s="146"/>
      <c r="G604" s="146"/>
      <c r="H604" s="146"/>
      <c r="I604" s="146"/>
      <c r="J604" s="146"/>
      <c r="K604" s="148"/>
    </row>
    <row r="605" spans="2:11" s="70" customFormat="1" ht="12.6" thickBot="1">
      <c r="B605" s="174" t="s">
        <v>200</v>
      </c>
      <c r="C605" s="175" t="s">
        <v>201</v>
      </c>
      <c r="D605" s="176" t="s">
        <v>202</v>
      </c>
      <c r="E605" s="176"/>
      <c r="F605" s="284" t="s">
        <v>203</v>
      </c>
      <c r="G605" s="284" t="s">
        <v>302</v>
      </c>
      <c r="H605" s="284" t="s">
        <v>1003</v>
      </c>
      <c r="I605" s="284" t="s">
        <v>209</v>
      </c>
      <c r="J605" s="284" t="s">
        <v>1004</v>
      </c>
      <c r="K605" s="290" t="s">
        <v>1005</v>
      </c>
    </row>
    <row r="606" spans="2:11" s="70" customFormat="1" ht="12">
      <c r="B606" s="291"/>
      <c r="C606" s="292"/>
      <c r="D606" s="297"/>
      <c r="E606" s="298"/>
      <c r="F606" s="295" t="s">
        <v>79</v>
      </c>
      <c r="G606" s="295"/>
      <c r="H606" s="293"/>
      <c r="I606" s="293" t="s">
        <v>1006</v>
      </c>
      <c r="J606" s="296" t="s">
        <v>206</v>
      </c>
      <c r="K606" s="187"/>
    </row>
    <row r="607" spans="2:11" s="6" customFormat="1" ht="12">
      <c r="B607" s="192" t="s">
        <v>1007</v>
      </c>
      <c r="C607" s="7" t="s">
        <v>1168</v>
      </c>
      <c r="D607" s="86" t="s">
        <v>1169</v>
      </c>
      <c r="E607" s="89"/>
      <c r="F607" s="294">
        <v>0.13</v>
      </c>
      <c r="G607" s="294"/>
      <c r="H607" s="217" t="s">
        <v>1008</v>
      </c>
      <c r="I607" s="8">
        <v>1000</v>
      </c>
      <c r="J607" s="19" t="s">
        <v>988</v>
      </c>
      <c r="K607" s="56" t="s">
        <v>1291</v>
      </c>
    </row>
    <row r="608" spans="2:11" s="6" customFormat="1" ht="12">
      <c r="B608" s="192" t="s">
        <v>1009</v>
      </c>
      <c r="C608" s="7" t="s">
        <v>1170</v>
      </c>
      <c r="D608" s="86" t="s">
        <v>1171</v>
      </c>
      <c r="E608" s="89"/>
      <c r="F608" s="294">
        <v>0.22</v>
      </c>
      <c r="G608" s="294"/>
      <c r="H608" s="217" t="s">
        <v>1010</v>
      </c>
      <c r="I608" s="8">
        <v>576</v>
      </c>
      <c r="J608" s="19" t="s">
        <v>1011</v>
      </c>
      <c r="K608" s="56" t="s">
        <v>1012</v>
      </c>
    </row>
    <row r="609" spans="2:11" s="6" customFormat="1" ht="12">
      <c r="B609" s="192" t="s">
        <v>1013</v>
      </c>
      <c r="C609" s="7" t="s">
        <v>1258</v>
      </c>
      <c r="D609" s="86" t="s">
        <v>1172</v>
      </c>
      <c r="E609" s="89"/>
      <c r="F609" s="294">
        <v>0.31</v>
      </c>
      <c r="G609" s="294"/>
      <c r="H609" s="217" t="s">
        <v>1014</v>
      </c>
      <c r="I609" s="8">
        <v>288</v>
      </c>
      <c r="J609" s="19" t="s">
        <v>1015</v>
      </c>
      <c r="K609" s="56" t="s">
        <v>1257</v>
      </c>
    </row>
    <row r="610" spans="2:11" s="6" customFormat="1" ht="12">
      <c r="B610" s="192" t="s">
        <v>1016</v>
      </c>
      <c r="C610" s="7" t="s">
        <v>1190</v>
      </c>
      <c r="D610" s="86" t="s">
        <v>1179</v>
      </c>
      <c r="E610" s="89"/>
      <c r="F610" s="294">
        <v>0.28999999999999998</v>
      </c>
      <c r="G610" s="294"/>
      <c r="H610" s="217" t="s">
        <v>1017</v>
      </c>
      <c r="I610" s="8">
        <v>1000</v>
      </c>
      <c r="J610" s="19" t="s">
        <v>1018</v>
      </c>
      <c r="K610" s="56" t="s">
        <v>1019</v>
      </c>
    </row>
    <row r="611" spans="2:11" s="6" customFormat="1" ht="12">
      <c r="B611" s="192" t="s">
        <v>1020</v>
      </c>
      <c r="C611" s="7" t="s">
        <v>1191</v>
      </c>
      <c r="D611" s="86" t="s">
        <v>1180</v>
      </c>
      <c r="E611" s="89"/>
      <c r="F611" s="294">
        <v>0.23</v>
      </c>
      <c r="G611" s="294"/>
      <c r="H611" s="217" t="s">
        <v>1010</v>
      </c>
      <c r="I611" s="8">
        <v>576</v>
      </c>
      <c r="J611" s="19" t="s">
        <v>1011</v>
      </c>
      <c r="K611" s="56" t="s">
        <v>1021</v>
      </c>
    </row>
    <row r="612" spans="2:11" s="6" customFormat="1" ht="12">
      <c r="B612" s="192" t="s">
        <v>1022</v>
      </c>
      <c r="C612" s="7" t="s">
        <v>1192</v>
      </c>
      <c r="D612" s="86" t="s">
        <v>1178</v>
      </c>
      <c r="E612" s="89"/>
      <c r="F612" s="294">
        <v>0.15</v>
      </c>
      <c r="G612" s="294"/>
      <c r="H612" s="217" t="s">
        <v>1023</v>
      </c>
      <c r="I612" s="8">
        <v>800</v>
      </c>
      <c r="J612" s="19" t="s">
        <v>1024</v>
      </c>
      <c r="K612" s="56" t="s">
        <v>1025</v>
      </c>
    </row>
    <row r="613" spans="2:11" s="6" customFormat="1" ht="12">
      <c r="B613" s="192" t="s">
        <v>1026</v>
      </c>
      <c r="C613" s="7" t="s">
        <v>1193</v>
      </c>
      <c r="D613" s="86" t="s">
        <v>1178</v>
      </c>
      <c r="E613" s="89"/>
      <c r="F613" s="294">
        <v>0.11</v>
      </c>
      <c r="G613" s="294"/>
      <c r="H613" s="217" t="s">
        <v>1023</v>
      </c>
      <c r="I613" s="8">
        <v>1500</v>
      </c>
      <c r="J613" s="19" t="s">
        <v>1027</v>
      </c>
      <c r="K613" s="56" t="s">
        <v>1028</v>
      </c>
    </row>
    <row r="614" spans="2:11" s="6" customFormat="1" ht="12">
      <c r="B614" s="192" t="s">
        <v>1029</v>
      </c>
      <c r="C614" s="7" t="s">
        <v>1194</v>
      </c>
      <c r="D614" s="86" t="s">
        <v>1180</v>
      </c>
      <c r="E614" s="89"/>
      <c r="F614" s="294">
        <v>0.23</v>
      </c>
      <c r="G614" s="294"/>
      <c r="H614" s="217" t="s">
        <v>1030</v>
      </c>
      <c r="I614" s="8">
        <v>480</v>
      </c>
      <c r="J614" s="19" t="s">
        <v>1031</v>
      </c>
      <c r="K614" s="56" t="s">
        <v>1032</v>
      </c>
    </row>
    <row r="615" spans="2:11" s="6" customFormat="1" ht="12">
      <c r="B615" s="192" t="s">
        <v>1033</v>
      </c>
      <c r="C615" s="7" t="s">
        <v>1195</v>
      </c>
      <c r="D615" s="86" t="s">
        <v>1179</v>
      </c>
      <c r="E615" s="89"/>
      <c r="F615" s="294">
        <v>0.25</v>
      </c>
      <c r="G615" s="294"/>
      <c r="H615" s="217" t="s">
        <v>1010</v>
      </c>
      <c r="I615" s="8">
        <v>500</v>
      </c>
      <c r="J615" s="19" t="s">
        <v>1034</v>
      </c>
      <c r="K615" s="56" t="s">
        <v>1035</v>
      </c>
    </row>
    <row r="616" spans="2:11" s="6" customFormat="1" ht="12">
      <c r="B616" s="192" t="s">
        <v>1036</v>
      </c>
      <c r="C616" s="7" t="s">
        <v>1196</v>
      </c>
      <c r="D616" s="86" t="s">
        <v>1183</v>
      </c>
      <c r="E616" s="89"/>
      <c r="F616" s="294">
        <v>0.28000000000000003</v>
      </c>
      <c r="G616" s="294"/>
      <c r="H616" s="217" t="s">
        <v>1030</v>
      </c>
      <c r="I616" s="8">
        <v>576</v>
      </c>
      <c r="J616" s="19" t="s">
        <v>1011</v>
      </c>
      <c r="K616" s="56" t="s">
        <v>1037</v>
      </c>
    </row>
    <row r="617" spans="2:11" s="6" customFormat="1" ht="12">
      <c r="B617" s="192" t="s">
        <v>1038</v>
      </c>
      <c r="C617" s="7" t="s">
        <v>1197</v>
      </c>
      <c r="D617" s="86" t="s">
        <v>1179</v>
      </c>
      <c r="E617" s="89"/>
      <c r="F617" s="294">
        <v>0.19</v>
      </c>
      <c r="G617" s="294"/>
      <c r="H617" s="217" t="s">
        <v>1014</v>
      </c>
      <c r="I617" s="8">
        <v>1000</v>
      </c>
      <c r="J617" s="19" t="s">
        <v>1039</v>
      </c>
      <c r="K617" s="56" t="s">
        <v>1040</v>
      </c>
    </row>
    <row r="618" spans="2:11" s="6" customFormat="1" ht="12">
      <c r="B618" s="192" t="s">
        <v>1041</v>
      </c>
      <c r="C618" s="7" t="s">
        <v>1198</v>
      </c>
      <c r="D618" s="86" t="s">
        <v>1179</v>
      </c>
      <c r="E618" s="89"/>
      <c r="F618" s="294">
        <v>0.26</v>
      </c>
      <c r="G618" s="294"/>
      <c r="H618" s="217" t="s">
        <v>1014</v>
      </c>
      <c r="I618" s="8">
        <v>1200</v>
      </c>
      <c r="J618" s="19" t="s">
        <v>992</v>
      </c>
      <c r="K618" s="56" t="s">
        <v>1042</v>
      </c>
    </row>
    <row r="619" spans="2:11" s="6" customFormat="1" ht="12">
      <c r="B619" s="192" t="s">
        <v>1043</v>
      </c>
      <c r="C619" s="7" t="s">
        <v>1199</v>
      </c>
      <c r="D619" s="86" t="s">
        <v>1182</v>
      </c>
      <c r="E619" s="89"/>
      <c r="F619" s="294">
        <v>0.47</v>
      </c>
      <c r="G619" s="294"/>
      <c r="H619" s="217" t="s">
        <v>1044</v>
      </c>
      <c r="I619" s="8">
        <v>288</v>
      </c>
      <c r="J619" s="19" t="s">
        <v>1015</v>
      </c>
      <c r="K619" s="56" t="s">
        <v>1045</v>
      </c>
    </row>
    <row r="620" spans="2:11" s="6" customFormat="1" ht="12">
      <c r="B620" s="192" t="s">
        <v>1046</v>
      </c>
      <c r="C620" s="7" t="s">
        <v>1200</v>
      </c>
      <c r="D620" s="86" t="s">
        <v>1173</v>
      </c>
      <c r="E620" s="89"/>
      <c r="F620" s="294">
        <v>0.33</v>
      </c>
      <c r="G620" s="294"/>
      <c r="H620" s="217"/>
      <c r="I620" s="8">
        <v>200</v>
      </c>
      <c r="J620" s="19" t="s">
        <v>1047</v>
      </c>
      <c r="K620" s="56" t="s">
        <v>1048</v>
      </c>
    </row>
    <row r="621" spans="2:11" s="6" customFormat="1" ht="12">
      <c r="B621" s="192" t="s">
        <v>1049</v>
      </c>
      <c r="C621" s="7" t="s">
        <v>1201</v>
      </c>
      <c r="D621" s="86" t="s">
        <v>1172</v>
      </c>
      <c r="E621" s="89"/>
      <c r="F621" s="294">
        <v>0.39</v>
      </c>
      <c r="G621" s="294"/>
      <c r="H621" s="217" t="s">
        <v>1010</v>
      </c>
      <c r="I621" s="8">
        <v>288</v>
      </c>
      <c r="J621" s="19" t="s">
        <v>1015</v>
      </c>
      <c r="K621" s="56" t="s">
        <v>1050</v>
      </c>
    </row>
    <row r="622" spans="2:11" s="6" customFormat="1" ht="12">
      <c r="B622" s="192" t="s">
        <v>1051</v>
      </c>
      <c r="C622" s="7" t="s">
        <v>1202</v>
      </c>
      <c r="D622" s="86" t="s">
        <v>1179</v>
      </c>
      <c r="E622" s="89"/>
      <c r="F622" s="294">
        <v>7.0000000000000007E-2</v>
      </c>
      <c r="G622" s="294"/>
      <c r="H622" s="217" t="s">
        <v>1008</v>
      </c>
      <c r="I622" s="8">
        <v>4000</v>
      </c>
      <c r="J622" s="19" t="s">
        <v>1052</v>
      </c>
      <c r="K622" s="56" t="s">
        <v>1053</v>
      </c>
    </row>
    <row r="623" spans="2:11" s="6" customFormat="1" ht="12">
      <c r="B623" s="192" t="s">
        <v>1054</v>
      </c>
      <c r="C623" s="7" t="s">
        <v>1203</v>
      </c>
      <c r="D623" s="86" t="s">
        <v>1174</v>
      </c>
      <c r="E623" s="89"/>
      <c r="F623" s="294">
        <v>0.45</v>
      </c>
      <c r="G623" s="294"/>
      <c r="H623" s="217" t="s">
        <v>1008</v>
      </c>
      <c r="I623" s="8">
        <v>288</v>
      </c>
      <c r="J623" s="19" t="s">
        <v>1015</v>
      </c>
      <c r="K623" s="56" t="s">
        <v>1055</v>
      </c>
    </row>
    <row r="624" spans="2:11" s="6" customFormat="1" ht="12">
      <c r="B624" s="192" t="s">
        <v>1056</v>
      </c>
      <c r="C624" s="7" t="s">
        <v>1204</v>
      </c>
      <c r="D624" s="86" t="s">
        <v>1177</v>
      </c>
      <c r="E624" s="89"/>
      <c r="F624" s="294">
        <v>0.35</v>
      </c>
      <c r="G624" s="294"/>
      <c r="H624" s="217"/>
      <c r="I624" s="8">
        <v>500</v>
      </c>
      <c r="J624" s="19" t="s">
        <v>1057</v>
      </c>
      <c r="K624" s="56" t="s">
        <v>1058</v>
      </c>
    </row>
    <row r="625" spans="2:11" s="6" customFormat="1" ht="12">
      <c r="B625" s="192" t="s">
        <v>1059</v>
      </c>
      <c r="C625" s="7" t="s">
        <v>1205</v>
      </c>
      <c r="D625" s="86" t="s">
        <v>1178</v>
      </c>
      <c r="E625" s="89"/>
      <c r="F625" s="294">
        <v>1.1299999999999999</v>
      </c>
      <c r="G625" s="294"/>
      <c r="H625" s="217" t="s">
        <v>1008</v>
      </c>
      <c r="I625" s="8">
        <v>200</v>
      </c>
      <c r="J625" s="19" t="s">
        <v>1047</v>
      </c>
      <c r="K625" s="56" t="s">
        <v>1060</v>
      </c>
    </row>
    <row r="626" spans="2:11" s="6" customFormat="1" ht="12">
      <c r="B626" s="192" t="s">
        <v>1061</v>
      </c>
      <c r="C626" s="7" t="s">
        <v>1206</v>
      </c>
      <c r="D626" s="86" t="s">
        <v>1175</v>
      </c>
      <c r="E626" s="89"/>
      <c r="F626" s="294">
        <v>0.18</v>
      </c>
      <c r="G626" s="294"/>
      <c r="H626" s="217" t="s">
        <v>1008</v>
      </c>
      <c r="I626" s="8">
        <v>1000</v>
      </c>
      <c r="J626" s="19" t="s">
        <v>1039</v>
      </c>
      <c r="K626" s="56" t="s">
        <v>1062</v>
      </c>
    </row>
    <row r="627" spans="2:11" s="6" customFormat="1" ht="12">
      <c r="B627" s="192" t="s">
        <v>1063</v>
      </c>
      <c r="C627" s="7" t="s">
        <v>1207</v>
      </c>
      <c r="D627" s="86" t="s">
        <v>1179</v>
      </c>
      <c r="E627" s="89"/>
      <c r="F627" s="294">
        <v>0.39</v>
      </c>
      <c r="G627" s="294"/>
      <c r="H627" s="217" t="s">
        <v>1008</v>
      </c>
      <c r="I627" s="8">
        <v>288</v>
      </c>
      <c r="J627" s="19" t="s">
        <v>1015</v>
      </c>
      <c r="K627" s="56" t="s">
        <v>1064</v>
      </c>
    </row>
    <row r="628" spans="2:11" s="6" customFormat="1" ht="12">
      <c r="B628" s="192" t="s">
        <v>1065</v>
      </c>
      <c r="C628" s="7" t="s">
        <v>1208</v>
      </c>
      <c r="D628" s="86" t="s">
        <v>1179</v>
      </c>
      <c r="E628" s="89"/>
      <c r="F628" s="294">
        <v>0.11</v>
      </c>
      <c r="G628" s="294"/>
      <c r="H628" s="217" t="s">
        <v>1030</v>
      </c>
      <c r="I628" s="8">
        <v>560</v>
      </c>
      <c r="J628" s="19" t="s">
        <v>1066</v>
      </c>
      <c r="K628" s="56" t="s">
        <v>1067</v>
      </c>
    </row>
    <row r="629" spans="2:11" s="6" customFormat="1" ht="12">
      <c r="B629" s="192" t="s">
        <v>1068</v>
      </c>
      <c r="C629" s="7" t="s">
        <v>1209</v>
      </c>
      <c r="D629" s="86" t="s">
        <v>1180</v>
      </c>
      <c r="E629" s="89"/>
      <c r="F629" s="294">
        <v>0.22</v>
      </c>
      <c r="G629" s="294"/>
      <c r="H629" s="217" t="s">
        <v>1010</v>
      </c>
      <c r="I629" s="8">
        <v>576</v>
      </c>
      <c r="J629" s="19" t="s">
        <v>1011</v>
      </c>
      <c r="K629" s="56" t="s">
        <v>1069</v>
      </c>
    </row>
    <row r="630" spans="2:11" s="6" customFormat="1" ht="12">
      <c r="B630" s="192" t="s">
        <v>1070</v>
      </c>
      <c r="C630" s="7" t="s">
        <v>1210</v>
      </c>
      <c r="D630" s="86" t="s">
        <v>1211</v>
      </c>
      <c r="E630" s="89"/>
      <c r="F630" s="294">
        <v>7.18</v>
      </c>
      <c r="G630" s="294"/>
      <c r="H630" s="217" t="s">
        <v>1030</v>
      </c>
      <c r="I630" s="8">
        <v>120</v>
      </c>
      <c r="J630" s="19" t="s">
        <v>1071</v>
      </c>
      <c r="K630" s="56" t="s">
        <v>1072</v>
      </c>
    </row>
    <row r="631" spans="2:11" s="6" customFormat="1" ht="12">
      <c r="B631" s="192" t="s">
        <v>1073</v>
      </c>
      <c r="C631" s="7" t="s">
        <v>1212</v>
      </c>
      <c r="D631" s="86" t="s">
        <v>1179</v>
      </c>
      <c r="E631" s="89"/>
      <c r="F631" s="294">
        <v>0.25</v>
      </c>
      <c r="G631" s="294"/>
      <c r="H631" s="217" t="s">
        <v>1074</v>
      </c>
      <c r="I631" s="8">
        <v>840</v>
      </c>
      <c r="J631" s="19" t="s">
        <v>991</v>
      </c>
      <c r="K631" s="56" t="s">
        <v>1075</v>
      </c>
    </row>
    <row r="632" spans="2:11" s="6" customFormat="1" ht="12">
      <c r="B632" s="192" t="s">
        <v>1076</v>
      </c>
      <c r="C632" s="7" t="s">
        <v>1213</v>
      </c>
      <c r="D632" s="86" t="s">
        <v>1184</v>
      </c>
      <c r="E632" s="89"/>
      <c r="F632" s="294">
        <v>0.12</v>
      </c>
      <c r="G632" s="294"/>
      <c r="H632" s="217" t="s">
        <v>1010</v>
      </c>
      <c r="I632" s="8">
        <v>1800</v>
      </c>
      <c r="J632" s="19" t="s">
        <v>1077</v>
      </c>
      <c r="K632" s="56" t="s">
        <v>1078</v>
      </c>
    </row>
    <row r="633" spans="2:11" s="6" customFormat="1" ht="12">
      <c r="B633" s="192" t="s">
        <v>1079</v>
      </c>
      <c r="C633" s="7" t="s">
        <v>1214</v>
      </c>
      <c r="D633" s="86" t="s">
        <v>1179</v>
      </c>
      <c r="E633" s="89"/>
      <c r="F633" s="294">
        <v>0.16</v>
      </c>
      <c r="G633" s="294"/>
      <c r="H633" s="217" t="s">
        <v>1023</v>
      </c>
      <c r="I633" s="8">
        <v>1500</v>
      </c>
      <c r="J633" s="19" t="s">
        <v>1080</v>
      </c>
      <c r="K633" s="56" t="s">
        <v>1081</v>
      </c>
    </row>
    <row r="634" spans="2:11" s="6" customFormat="1" ht="12">
      <c r="B634" s="192" t="s">
        <v>1082</v>
      </c>
      <c r="C634" s="7" t="s">
        <v>1215</v>
      </c>
      <c r="D634" s="86" t="s">
        <v>1175</v>
      </c>
      <c r="E634" s="89"/>
      <c r="F634" s="294">
        <v>0.1</v>
      </c>
      <c r="G634" s="294"/>
      <c r="H634" s="217" t="s">
        <v>1014</v>
      </c>
      <c r="I634" s="8">
        <v>1000</v>
      </c>
      <c r="J634" s="19" t="s">
        <v>987</v>
      </c>
      <c r="K634" s="56" t="s">
        <v>1083</v>
      </c>
    </row>
    <row r="635" spans="2:11" s="6" customFormat="1" ht="12">
      <c r="B635" s="192" t="s">
        <v>1084</v>
      </c>
      <c r="C635" s="7" t="s">
        <v>1216</v>
      </c>
      <c r="D635" s="86" t="s">
        <v>1175</v>
      </c>
      <c r="E635" s="89"/>
      <c r="F635" s="294">
        <v>0.1</v>
      </c>
      <c r="G635" s="294"/>
      <c r="H635" s="217" t="s">
        <v>1017</v>
      </c>
      <c r="I635" s="8">
        <v>1000</v>
      </c>
      <c r="J635" s="19" t="s">
        <v>987</v>
      </c>
      <c r="K635" s="56" t="s">
        <v>1083</v>
      </c>
    </row>
    <row r="636" spans="2:11" s="6" customFormat="1" ht="12">
      <c r="B636" s="192" t="s">
        <v>1085</v>
      </c>
      <c r="C636" s="7" t="s">
        <v>1217</v>
      </c>
      <c r="D636" s="86" t="s">
        <v>1175</v>
      </c>
      <c r="E636" s="89"/>
      <c r="F636" s="294">
        <v>0.14000000000000001</v>
      </c>
      <c r="G636" s="294"/>
      <c r="H636" s="217" t="s">
        <v>1023</v>
      </c>
      <c r="I636" s="8">
        <v>1000</v>
      </c>
      <c r="J636" s="19" t="s">
        <v>988</v>
      </c>
      <c r="K636" s="56" t="s">
        <v>1083</v>
      </c>
    </row>
    <row r="637" spans="2:11" s="6" customFormat="1" ht="12">
      <c r="B637" s="192" t="s">
        <v>1086</v>
      </c>
      <c r="C637" s="7" t="s">
        <v>1218</v>
      </c>
      <c r="D637" s="86" t="s">
        <v>1175</v>
      </c>
      <c r="E637" s="89"/>
      <c r="F637" s="294">
        <v>0.09</v>
      </c>
      <c r="G637" s="294"/>
      <c r="H637" s="217" t="s">
        <v>1008</v>
      </c>
      <c r="I637" s="8">
        <v>1000</v>
      </c>
      <c r="J637" s="19" t="s">
        <v>987</v>
      </c>
      <c r="K637" s="56" t="s">
        <v>1083</v>
      </c>
    </row>
    <row r="638" spans="2:11" s="6" customFormat="1" ht="12">
      <c r="B638" s="192" t="s">
        <v>1087</v>
      </c>
      <c r="C638" s="7" t="s">
        <v>1219</v>
      </c>
      <c r="D638" s="86" t="s">
        <v>1178</v>
      </c>
      <c r="E638" s="89"/>
      <c r="F638" s="294">
        <v>0.26</v>
      </c>
      <c r="G638" s="294"/>
      <c r="H638" s="217" t="s">
        <v>1008</v>
      </c>
      <c r="I638" s="8">
        <v>600</v>
      </c>
      <c r="J638" s="19" t="s">
        <v>1255</v>
      </c>
      <c r="K638" s="56" t="s">
        <v>1089</v>
      </c>
    </row>
    <row r="639" spans="2:11" s="6" customFormat="1" ht="12">
      <c r="B639" s="192" t="s">
        <v>1090</v>
      </c>
      <c r="C639" s="7" t="s">
        <v>1220</v>
      </c>
      <c r="D639" s="86" t="s">
        <v>1187</v>
      </c>
      <c r="E639" s="89"/>
      <c r="F639" s="294">
        <v>0.35</v>
      </c>
      <c r="G639" s="294"/>
      <c r="H639" s="217" t="s">
        <v>1091</v>
      </c>
      <c r="I639" s="8">
        <v>1200</v>
      </c>
      <c r="J639" s="19" t="s">
        <v>1092</v>
      </c>
      <c r="K639" s="56" t="s">
        <v>1093</v>
      </c>
    </row>
    <row r="640" spans="2:11" s="6" customFormat="1" ht="12">
      <c r="B640" s="192" t="s">
        <v>1094</v>
      </c>
      <c r="C640" s="7" t="s">
        <v>1221</v>
      </c>
      <c r="D640" s="86" t="s">
        <v>1222</v>
      </c>
      <c r="E640" s="89"/>
      <c r="F640" s="294">
        <v>0.17</v>
      </c>
      <c r="G640" s="294"/>
      <c r="H640" s="217"/>
      <c r="I640" s="8">
        <v>768</v>
      </c>
      <c r="J640" s="19" t="s">
        <v>1095</v>
      </c>
      <c r="K640" s="56" t="s">
        <v>1096</v>
      </c>
    </row>
    <row r="641" spans="2:11" s="6" customFormat="1" ht="12">
      <c r="B641" s="192" t="s">
        <v>1097</v>
      </c>
      <c r="C641" s="7" t="s">
        <v>1223</v>
      </c>
      <c r="D641" s="86" t="s">
        <v>1224</v>
      </c>
      <c r="E641" s="89"/>
      <c r="F641" s="294">
        <v>0.41</v>
      </c>
      <c r="G641" s="294"/>
      <c r="H641" s="217" t="s">
        <v>1091</v>
      </c>
      <c r="I641" s="8">
        <v>360</v>
      </c>
      <c r="J641" s="19" t="s">
        <v>1098</v>
      </c>
      <c r="K641" s="56" t="s">
        <v>1099</v>
      </c>
    </row>
    <row r="642" spans="2:11" s="6" customFormat="1" ht="12">
      <c r="B642" s="192" t="s">
        <v>1100</v>
      </c>
      <c r="C642" s="7" t="s">
        <v>1225</v>
      </c>
      <c r="D642" s="86" t="s">
        <v>1179</v>
      </c>
      <c r="E642" s="89"/>
      <c r="F642" s="294">
        <v>0.32</v>
      </c>
      <c r="G642" s="294"/>
      <c r="H642" s="217"/>
      <c r="I642" s="8">
        <v>600</v>
      </c>
      <c r="J642" s="19" t="s">
        <v>1088</v>
      </c>
      <c r="K642" s="56" t="s">
        <v>1101</v>
      </c>
    </row>
    <row r="643" spans="2:11" s="6" customFormat="1" ht="12">
      <c r="B643" s="192" t="s">
        <v>1102</v>
      </c>
      <c r="C643" s="7" t="s">
        <v>1226</v>
      </c>
      <c r="D643" s="86" t="s">
        <v>1179</v>
      </c>
      <c r="E643" s="89"/>
      <c r="F643" s="294">
        <v>0.14000000000000001</v>
      </c>
      <c r="G643" s="294"/>
      <c r="H643" s="217" t="s">
        <v>1103</v>
      </c>
      <c r="I643" s="8">
        <v>1600</v>
      </c>
      <c r="J643" s="19" t="s">
        <v>1104</v>
      </c>
      <c r="K643" s="56" t="s">
        <v>1105</v>
      </c>
    </row>
    <row r="644" spans="2:11" s="6" customFormat="1" ht="12">
      <c r="B644" s="192" t="s">
        <v>1106</v>
      </c>
      <c r="C644" s="7" t="s">
        <v>1227</v>
      </c>
      <c r="D644" s="86" t="s">
        <v>1179</v>
      </c>
      <c r="E644" s="89"/>
      <c r="F644" s="294">
        <v>0.13</v>
      </c>
      <c r="G644" s="294"/>
      <c r="H644" s="217" t="s">
        <v>1010</v>
      </c>
      <c r="I644" s="8">
        <v>1000</v>
      </c>
      <c r="J644" s="19" t="s">
        <v>988</v>
      </c>
      <c r="K644" s="56" t="s">
        <v>1107</v>
      </c>
    </row>
    <row r="645" spans="2:11" s="6" customFormat="1" ht="12">
      <c r="B645" s="192" t="s">
        <v>1108</v>
      </c>
      <c r="C645" s="7" t="s">
        <v>1228</v>
      </c>
      <c r="D645" s="86" t="s">
        <v>1179</v>
      </c>
      <c r="E645" s="89"/>
      <c r="F645" s="294">
        <v>0.11</v>
      </c>
      <c r="G645" s="294"/>
      <c r="H645" s="217" t="s">
        <v>1074</v>
      </c>
      <c r="I645" s="8">
        <v>2000</v>
      </c>
      <c r="J645" s="19" t="s">
        <v>1109</v>
      </c>
      <c r="K645" s="56" t="s">
        <v>1110</v>
      </c>
    </row>
    <row r="646" spans="2:11" s="6" customFormat="1" ht="12">
      <c r="B646" s="192" t="s">
        <v>1111</v>
      </c>
      <c r="C646" s="7" t="s">
        <v>1229</v>
      </c>
      <c r="D646" s="86" t="s">
        <v>1179</v>
      </c>
      <c r="E646" s="89"/>
      <c r="F646" s="294">
        <v>0.23</v>
      </c>
      <c r="G646" s="294" t="s">
        <v>631</v>
      </c>
      <c r="H646" s="217"/>
      <c r="I646" s="8">
        <v>300</v>
      </c>
      <c r="J646" s="19" t="s">
        <v>1112</v>
      </c>
      <c r="K646" s="56" t="s">
        <v>1113</v>
      </c>
    </row>
    <row r="647" spans="2:11" s="6" customFormat="1" ht="12">
      <c r="B647" s="192" t="s">
        <v>1114</v>
      </c>
      <c r="C647" s="7" t="s">
        <v>1230</v>
      </c>
      <c r="D647" s="86" t="s">
        <v>1179</v>
      </c>
      <c r="E647" s="89"/>
      <c r="F647" s="294">
        <v>0.15</v>
      </c>
      <c r="G647" s="294"/>
      <c r="H647" s="217" t="s">
        <v>1010</v>
      </c>
      <c r="I647" s="8">
        <v>480</v>
      </c>
      <c r="J647" s="19" t="s">
        <v>1115</v>
      </c>
      <c r="K647" s="56" t="s">
        <v>1116</v>
      </c>
    </row>
    <row r="648" spans="2:11" s="6" customFormat="1" ht="12">
      <c r="B648" s="192" t="s">
        <v>1117</v>
      </c>
      <c r="C648" s="7" t="s">
        <v>1231</v>
      </c>
      <c r="D648" s="86" t="s">
        <v>1179</v>
      </c>
      <c r="E648" s="89"/>
      <c r="F648" s="294">
        <v>0.21</v>
      </c>
      <c r="G648" s="294"/>
      <c r="H648" s="217" t="s">
        <v>1030</v>
      </c>
      <c r="I648" s="8">
        <v>576</v>
      </c>
      <c r="J648" s="19" t="s">
        <v>1011</v>
      </c>
      <c r="K648" s="56" t="s">
        <v>1118</v>
      </c>
    </row>
    <row r="649" spans="2:11" s="6" customFormat="1" ht="12">
      <c r="B649" s="192" t="s">
        <v>1119</v>
      </c>
      <c r="C649" s="7" t="s">
        <v>1232</v>
      </c>
      <c r="D649" s="86" t="s">
        <v>1169</v>
      </c>
      <c r="E649" s="89"/>
      <c r="F649" s="294">
        <v>0.21</v>
      </c>
      <c r="G649" s="294"/>
      <c r="H649" s="217"/>
      <c r="I649" s="8">
        <v>480</v>
      </c>
      <c r="J649" s="19" t="s">
        <v>994</v>
      </c>
      <c r="K649" s="56" t="s">
        <v>1120</v>
      </c>
    </row>
    <row r="650" spans="2:11" s="6" customFormat="1" ht="12">
      <c r="B650" s="192">
        <v>189007</v>
      </c>
      <c r="C650" s="7" t="s">
        <v>1233</v>
      </c>
      <c r="D650" s="86" t="s">
        <v>1176</v>
      </c>
      <c r="E650" s="89"/>
      <c r="F650" s="294">
        <v>0.21</v>
      </c>
      <c r="G650" s="294" t="s">
        <v>301</v>
      </c>
      <c r="H650" s="217" t="s">
        <v>1010</v>
      </c>
      <c r="I650" s="8">
        <v>600</v>
      </c>
      <c r="J650" s="19" t="s">
        <v>1121</v>
      </c>
      <c r="K650" s="56" t="s">
        <v>1122</v>
      </c>
    </row>
    <row r="651" spans="2:11" s="6" customFormat="1" ht="12">
      <c r="B651" s="192">
        <v>216505</v>
      </c>
      <c r="C651" s="7" t="s">
        <v>1252</v>
      </c>
      <c r="D651" s="86" t="s">
        <v>1181</v>
      </c>
      <c r="E651" s="89"/>
      <c r="F651" s="294">
        <v>0.31</v>
      </c>
      <c r="G651" s="294"/>
      <c r="H651" s="217" t="s">
        <v>1010</v>
      </c>
      <c r="I651" s="8">
        <v>240</v>
      </c>
      <c r="J651" s="19" t="s">
        <v>1163</v>
      </c>
      <c r="K651" s="56" t="s">
        <v>1164</v>
      </c>
    </row>
    <row r="652" spans="2:11" s="6" customFormat="1" ht="12">
      <c r="B652" s="192">
        <v>219001</v>
      </c>
      <c r="C652" s="7" t="s">
        <v>1251</v>
      </c>
      <c r="D652" s="86" t="s">
        <v>1185</v>
      </c>
      <c r="E652" s="89"/>
      <c r="F652" s="294">
        <v>0.12</v>
      </c>
      <c r="G652" s="294" t="s">
        <v>301</v>
      </c>
      <c r="H652" s="217" t="s">
        <v>1010</v>
      </c>
      <c r="I652" s="8">
        <v>1000</v>
      </c>
      <c r="J652" s="19" t="s">
        <v>1156</v>
      </c>
      <c r="K652" s="56" t="s">
        <v>1162</v>
      </c>
    </row>
    <row r="653" spans="2:11" s="6" customFormat="1" ht="12">
      <c r="B653" s="192">
        <v>219002</v>
      </c>
      <c r="C653" s="7" t="s">
        <v>1250</v>
      </c>
      <c r="D653" s="86" t="s">
        <v>1179</v>
      </c>
      <c r="E653" s="89"/>
      <c r="F653" s="294">
        <v>0.14000000000000001</v>
      </c>
      <c r="G653" s="294"/>
      <c r="H653" s="217" t="s">
        <v>1010</v>
      </c>
      <c r="I653" s="8">
        <v>2400</v>
      </c>
      <c r="J653" s="19" t="s">
        <v>1160</v>
      </c>
      <c r="K653" s="56" t="s">
        <v>1161</v>
      </c>
    </row>
    <row r="654" spans="2:11" s="6" customFormat="1" ht="12">
      <c r="B654" s="192">
        <v>219005</v>
      </c>
      <c r="C654" s="7" t="s">
        <v>1249</v>
      </c>
      <c r="D654" s="86" t="s">
        <v>1179</v>
      </c>
      <c r="E654" s="89"/>
      <c r="F654" s="294">
        <v>0.14000000000000001</v>
      </c>
      <c r="G654" s="294"/>
      <c r="H654" s="217" t="s">
        <v>1155</v>
      </c>
      <c r="I654" s="8">
        <v>1250</v>
      </c>
      <c r="J654" s="19" t="s">
        <v>1158</v>
      </c>
      <c r="K654" s="56" t="s">
        <v>1159</v>
      </c>
    </row>
    <row r="655" spans="2:11" s="6" customFormat="1" ht="12">
      <c r="B655" s="192">
        <v>225012</v>
      </c>
      <c r="C655" s="7" t="s">
        <v>1248</v>
      </c>
      <c r="D655" s="86" t="s">
        <v>1175</v>
      </c>
      <c r="E655" s="89"/>
      <c r="F655" s="294">
        <v>0.12</v>
      </c>
      <c r="G655" s="294" t="s">
        <v>301</v>
      </c>
      <c r="H655" s="217" t="s">
        <v>1155</v>
      </c>
      <c r="I655" s="8">
        <v>1000</v>
      </c>
      <c r="J655" s="19" t="s">
        <v>1156</v>
      </c>
      <c r="K655" s="56" t="s">
        <v>1157</v>
      </c>
    </row>
    <row r="656" spans="2:11" s="6" customFormat="1" ht="12">
      <c r="B656" s="192">
        <v>226507</v>
      </c>
      <c r="C656" s="7" t="s">
        <v>1247</v>
      </c>
      <c r="D656" s="86" t="s">
        <v>1186</v>
      </c>
      <c r="E656" s="89"/>
      <c r="F656" s="294">
        <v>0.24</v>
      </c>
      <c r="G656" s="294" t="s">
        <v>301</v>
      </c>
      <c r="H656" s="217" t="s">
        <v>1008</v>
      </c>
      <c r="I656" s="8">
        <v>1000</v>
      </c>
      <c r="J656" s="19" t="s">
        <v>1152</v>
      </c>
      <c r="K656" s="56" t="s">
        <v>1154</v>
      </c>
    </row>
    <row r="657" spans="2:11" s="6" customFormat="1" ht="12">
      <c r="B657" s="192">
        <v>226512</v>
      </c>
      <c r="C657" s="7" t="s">
        <v>1246</v>
      </c>
      <c r="D657" s="86" t="s">
        <v>1179</v>
      </c>
      <c r="E657" s="89"/>
      <c r="F657" s="294">
        <v>0.24</v>
      </c>
      <c r="G657" s="294"/>
      <c r="H657" s="217" t="s">
        <v>1103</v>
      </c>
      <c r="I657" s="8">
        <v>1000</v>
      </c>
      <c r="J657" s="19" t="s">
        <v>1152</v>
      </c>
      <c r="K657" s="56" t="s">
        <v>1153</v>
      </c>
    </row>
    <row r="658" spans="2:11" s="6" customFormat="1" ht="12">
      <c r="B658" s="192">
        <v>229001</v>
      </c>
      <c r="C658" s="7" t="s">
        <v>1245</v>
      </c>
      <c r="D658" s="86" t="s">
        <v>1179</v>
      </c>
      <c r="E658" s="89"/>
      <c r="F658" s="294">
        <v>0.12</v>
      </c>
      <c r="G658" s="294"/>
      <c r="H658" s="217" t="s">
        <v>1074</v>
      </c>
      <c r="I658" s="8">
        <v>2000</v>
      </c>
      <c r="J658" s="19" t="s">
        <v>1150</v>
      </c>
      <c r="K658" s="56" t="s">
        <v>1151</v>
      </c>
    </row>
    <row r="659" spans="2:11" s="6" customFormat="1" ht="12">
      <c r="B659" s="192">
        <v>236502</v>
      </c>
      <c r="C659" s="7" t="s">
        <v>1244</v>
      </c>
      <c r="D659" s="86" t="s">
        <v>1179</v>
      </c>
      <c r="E659" s="89"/>
      <c r="F659" s="294">
        <v>0.17</v>
      </c>
      <c r="G659" s="294"/>
      <c r="H659" s="217"/>
      <c r="I659" s="8">
        <v>1000</v>
      </c>
      <c r="J659" s="19" t="s">
        <v>1148</v>
      </c>
      <c r="K659" s="56" t="s">
        <v>1149</v>
      </c>
    </row>
    <row r="660" spans="2:11" s="6" customFormat="1" ht="12">
      <c r="B660" s="192">
        <v>236503</v>
      </c>
      <c r="C660" s="7" t="s">
        <v>1243</v>
      </c>
      <c r="D660" s="86" t="s">
        <v>1179</v>
      </c>
      <c r="E660" s="89"/>
      <c r="F660" s="294">
        <v>0.12</v>
      </c>
      <c r="G660" s="294" t="s">
        <v>301</v>
      </c>
      <c r="H660" s="217" t="s">
        <v>1146</v>
      </c>
      <c r="I660" s="8">
        <v>2000</v>
      </c>
      <c r="J660" s="19" t="s">
        <v>1109</v>
      </c>
      <c r="K660" s="56" t="s">
        <v>1147</v>
      </c>
    </row>
    <row r="661" spans="2:11" s="6" customFormat="1" ht="12">
      <c r="B661" s="192">
        <v>245004</v>
      </c>
      <c r="C661" s="7" t="s">
        <v>1242</v>
      </c>
      <c r="D661" s="86" t="s">
        <v>1179</v>
      </c>
      <c r="E661" s="89"/>
      <c r="F661" s="294">
        <v>0.11</v>
      </c>
      <c r="G661" s="294"/>
      <c r="H661" s="217" t="s">
        <v>1010</v>
      </c>
      <c r="I661" s="8">
        <v>3000</v>
      </c>
      <c r="J661" s="19" t="s">
        <v>1144</v>
      </c>
      <c r="K661" s="56" t="s">
        <v>1145</v>
      </c>
    </row>
    <row r="662" spans="2:11" s="6" customFormat="1" ht="12">
      <c r="B662" s="192">
        <v>255003</v>
      </c>
      <c r="C662" s="7" t="s">
        <v>1241</v>
      </c>
      <c r="D662" s="86"/>
      <c r="E662" s="89"/>
      <c r="F662" s="294">
        <v>0.13</v>
      </c>
      <c r="G662" s="294"/>
      <c r="H662" s="217" t="s">
        <v>1142</v>
      </c>
      <c r="I662" s="8">
        <v>1500</v>
      </c>
      <c r="J662" s="19" t="s">
        <v>1027</v>
      </c>
      <c r="K662" s="56" t="s">
        <v>1143</v>
      </c>
    </row>
    <row r="663" spans="2:11" s="6" customFormat="1" ht="12">
      <c r="B663" s="192">
        <v>256501</v>
      </c>
      <c r="C663" s="7" t="s">
        <v>1240</v>
      </c>
      <c r="D663" s="86" t="s">
        <v>1189</v>
      </c>
      <c r="E663" s="89"/>
      <c r="F663" s="294">
        <v>0.23</v>
      </c>
      <c r="G663" s="294"/>
      <c r="H663" s="217" t="s">
        <v>1123</v>
      </c>
      <c r="I663" s="8">
        <v>1920</v>
      </c>
      <c r="J663" s="19" t="s">
        <v>1140</v>
      </c>
      <c r="K663" s="56" t="s">
        <v>1141</v>
      </c>
    </row>
    <row r="664" spans="2:11" s="6" customFormat="1" ht="12">
      <c r="B664" s="192" t="s">
        <v>342</v>
      </c>
      <c r="C664" s="7" t="s">
        <v>1238</v>
      </c>
      <c r="D664" s="86" t="s">
        <v>1239</v>
      </c>
      <c r="E664" s="89"/>
      <c r="F664" s="294">
        <v>0.18</v>
      </c>
      <c r="G664" s="294"/>
      <c r="H664" s="217" t="s">
        <v>1138</v>
      </c>
      <c r="I664" s="8">
        <v>2000</v>
      </c>
      <c r="J664" s="19" t="s">
        <v>1109</v>
      </c>
      <c r="K664" s="56" t="s">
        <v>1139</v>
      </c>
    </row>
    <row r="665" spans="2:11" s="6" customFormat="1" ht="12">
      <c r="B665" s="192" t="s">
        <v>177</v>
      </c>
      <c r="C665" s="7" t="s">
        <v>1237</v>
      </c>
      <c r="D665" s="86" t="s">
        <v>1176</v>
      </c>
      <c r="E665" s="89"/>
      <c r="F665" s="294">
        <v>0.14000000000000001</v>
      </c>
      <c r="G665" s="294"/>
      <c r="H665" s="217" t="s">
        <v>1135</v>
      </c>
      <c r="I665" s="8">
        <v>720</v>
      </c>
      <c r="J665" s="19" t="s">
        <v>1136</v>
      </c>
      <c r="K665" s="56" t="s">
        <v>1137</v>
      </c>
    </row>
    <row r="666" spans="2:11" s="6" customFormat="1" ht="12">
      <c r="B666" s="192" t="s">
        <v>1132</v>
      </c>
      <c r="C666" s="7" t="s">
        <v>802</v>
      </c>
      <c r="D666" s="86" t="s">
        <v>1188</v>
      </c>
      <c r="E666" s="89"/>
      <c r="F666" s="294">
        <v>0.17</v>
      </c>
      <c r="G666" s="294" t="s">
        <v>631</v>
      </c>
      <c r="H666" s="217"/>
      <c r="I666" s="8">
        <v>360</v>
      </c>
      <c r="J666" s="19" t="s">
        <v>1133</v>
      </c>
      <c r="K666" s="56" t="s">
        <v>1134</v>
      </c>
    </row>
    <row r="667" spans="2:11" s="6" customFormat="1" ht="12">
      <c r="B667" s="192" t="s">
        <v>1130</v>
      </c>
      <c r="C667" s="7" t="s">
        <v>1236</v>
      </c>
      <c r="D667" s="86" t="s">
        <v>1179</v>
      </c>
      <c r="E667" s="89"/>
      <c r="F667" s="294">
        <v>0.14000000000000001</v>
      </c>
      <c r="G667" s="294"/>
      <c r="H667" s="217" t="s">
        <v>1010</v>
      </c>
      <c r="I667" s="8">
        <v>1200</v>
      </c>
      <c r="J667" s="19" t="s">
        <v>1126</v>
      </c>
      <c r="K667" s="56" t="s">
        <v>1131</v>
      </c>
    </row>
    <row r="668" spans="2:11" s="6" customFormat="1" ht="12">
      <c r="B668" s="192" t="s">
        <v>1128</v>
      </c>
      <c r="C668" s="7" t="s">
        <v>1235</v>
      </c>
      <c r="D668" s="86" t="s">
        <v>1179</v>
      </c>
      <c r="E668" s="89"/>
      <c r="F668" s="294">
        <v>0.14000000000000001</v>
      </c>
      <c r="G668" s="294"/>
      <c r="H668" s="217" t="s">
        <v>1010</v>
      </c>
      <c r="I668" s="8">
        <v>1200</v>
      </c>
      <c r="J668" s="19" t="s">
        <v>1126</v>
      </c>
      <c r="K668" s="56" t="s">
        <v>1129</v>
      </c>
    </row>
    <row r="669" spans="2:11" s="6" customFormat="1" ht="12">
      <c r="B669" s="192" t="s">
        <v>185</v>
      </c>
      <c r="C669" s="7" t="s">
        <v>1234</v>
      </c>
      <c r="D669" s="86" t="s">
        <v>1176</v>
      </c>
      <c r="E669" s="89"/>
      <c r="F669" s="294">
        <v>0.14000000000000001</v>
      </c>
      <c r="G669" s="294"/>
      <c r="H669" s="217" t="s">
        <v>107</v>
      </c>
      <c r="I669" s="8">
        <v>1200</v>
      </c>
      <c r="J669" s="19" t="s">
        <v>1126</v>
      </c>
      <c r="K669" s="56" t="s">
        <v>1127</v>
      </c>
    </row>
    <row r="670" spans="2:11" s="6" customFormat="1" ht="12">
      <c r="B670" s="192" t="s">
        <v>339</v>
      </c>
      <c r="C670" s="7" t="s">
        <v>797</v>
      </c>
      <c r="D670" s="86" t="s">
        <v>1176</v>
      </c>
      <c r="E670" s="89"/>
      <c r="F670" s="294">
        <v>0.19</v>
      </c>
      <c r="G670" s="294"/>
      <c r="H670" s="217" t="s">
        <v>1123</v>
      </c>
      <c r="I670" s="8">
        <v>720</v>
      </c>
      <c r="J670" s="19" t="s">
        <v>1124</v>
      </c>
      <c r="K670" s="56" t="s">
        <v>1125</v>
      </c>
    </row>
    <row r="671" spans="2:11" s="6" customFormat="1" ht="12.6" thickBot="1">
      <c r="B671" s="209"/>
      <c r="C671" s="210"/>
      <c r="D671" s="211"/>
      <c r="E671" s="211"/>
      <c r="F671" s="212"/>
      <c r="G671" s="212"/>
      <c r="H671" s="213"/>
      <c r="I671" s="214"/>
      <c r="J671" s="214"/>
      <c r="K671" s="215"/>
    </row>
  </sheetData>
  <sheetProtection algorithmName="SHA-512" hashValue="Imm9jlJsNfM1AQryqFlbinfRxKR6if341qWsPnOouvdVRK2rD8QS3rp2eHipAOJzqz1sR3FcIfKFgsNLa+Prrg==" saltValue="JIqydh5F28GsmBaY64KlmQ==" spinCount="100000" sheet="1" objects="1" scenarios="1"/>
  <mergeCells count="61">
    <mergeCell ref="I570:J570"/>
    <mergeCell ref="F392:G392"/>
    <mergeCell ref="I114:J114"/>
    <mergeCell ref="F498:G498"/>
    <mergeCell ref="F503:G503"/>
    <mergeCell ref="F501:G501"/>
    <mergeCell ref="F508:G508"/>
    <mergeCell ref="F507:G507"/>
    <mergeCell ref="I463:J463"/>
    <mergeCell ref="F463:G463"/>
    <mergeCell ref="I495:J495"/>
    <mergeCell ref="F495:G495"/>
    <mergeCell ref="F496:G496"/>
    <mergeCell ref="F506:G506"/>
    <mergeCell ref="F505:G505"/>
    <mergeCell ref="F504:G504"/>
    <mergeCell ref="B8:K8"/>
    <mergeCell ref="B9:K9"/>
    <mergeCell ref="B11:K12"/>
    <mergeCell ref="I392:J392"/>
    <mergeCell ref="B460:K460"/>
    <mergeCell ref="B111:K111"/>
    <mergeCell ref="F114:G114"/>
    <mergeCell ref="D513:D514"/>
    <mergeCell ref="B69:K69"/>
    <mergeCell ref="F497:G497"/>
    <mergeCell ref="F20:G20"/>
    <mergeCell ref="B513:B514"/>
    <mergeCell ref="F511:G511"/>
    <mergeCell ref="F500:G500"/>
    <mergeCell ref="B389:K389"/>
    <mergeCell ref="I511:J511"/>
    <mergeCell ref="F512:G512"/>
    <mergeCell ref="I72:J72"/>
    <mergeCell ref="F72:G72"/>
    <mergeCell ref="F499:G499"/>
    <mergeCell ref="F502:G502"/>
    <mergeCell ref="I20:J20"/>
    <mergeCell ref="B492:K492"/>
    <mergeCell ref="B515:B517"/>
    <mergeCell ref="D518:D522"/>
    <mergeCell ref="B518:B522"/>
    <mergeCell ref="B523:B527"/>
    <mergeCell ref="D523:D527"/>
    <mergeCell ref="D515:D517"/>
    <mergeCell ref="B538:B542"/>
    <mergeCell ref="D538:D542"/>
    <mergeCell ref="B528:B532"/>
    <mergeCell ref="D528:D532"/>
    <mergeCell ref="D543:D547"/>
    <mergeCell ref="D533:D537"/>
    <mergeCell ref="B533:B537"/>
    <mergeCell ref="B543:B547"/>
    <mergeCell ref="B563:B567"/>
    <mergeCell ref="B548:B552"/>
    <mergeCell ref="B553:B557"/>
    <mergeCell ref="B558:B562"/>
    <mergeCell ref="D553:D557"/>
    <mergeCell ref="D548:D552"/>
    <mergeCell ref="D558:D562"/>
    <mergeCell ref="D563:D567"/>
  </mergeCells>
  <phoneticPr fontId="1" type="noConversion"/>
  <hyperlinks>
    <hyperlink ref="B9" r:id="rId1" display="http://www.pandavending.com/Supplies.asp"/>
    <hyperlink ref="B9:K9" r:id="rId2" display="https://www.ChinaCapsuleToys.com"/>
  </hyperlinks>
  <pageMargins left="0.59055118110236227" right="0.51181102362204722" top="0.59055118110236227" bottom="0.59055118110236227" header="0.39370078740157483" footer="0.39370078740157483"/>
  <pageSetup paperSize="9" scale="72" orientation="portrait" horizontalDpi="1200" verticalDpi="1200" r:id="rId3"/>
  <headerFooter>
    <oddHeader>&amp;C&amp;"微软雅黑,加粗"&amp;10&amp;P/&amp;N</oddHeader>
  </headerFooter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Bulk Vending Refills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2026-01-13T09:53:42Z</dcterms:modified>
</cp:coreProperties>
</file>